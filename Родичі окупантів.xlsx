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3475" windowHeight="7815" tabRatio="500"/>
  </bookViews>
  <sheets>
    <sheet name="главное" sheetId="1" r:id="rId1"/>
  </sheets>
  <definedNames>
    <definedName name="_xlnm._FilterDatabase" localSheetId="0">главное!$A$3:$WUT$537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_xlnm.Print_Area" localSheetId="0">главное!$A$1:$T$529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20" i="1" l="1"/>
  <c r="A520" i="1"/>
  <c r="S514" i="1"/>
  <c r="F498" i="1"/>
  <c r="A498" i="1"/>
  <c r="F495" i="1"/>
  <c r="A495" i="1"/>
  <c r="F489" i="1"/>
  <c r="A489" i="1"/>
  <c r="F480" i="1"/>
  <c r="A480" i="1"/>
  <c r="F478" i="1"/>
  <c r="A478" i="1"/>
  <c r="F472" i="1"/>
  <c r="A472" i="1"/>
  <c r="F466" i="1"/>
  <c r="A466" i="1"/>
  <c r="F460" i="1"/>
  <c r="A460" i="1"/>
  <c r="S447" i="1"/>
  <c r="F440" i="1"/>
  <c r="A440" i="1"/>
  <c r="F439" i="1"/>
  <c r="A439" i="1"/>
  <c r="F436" i="1"/>
  <c r="A436" i="1"/>
  <c r="F433" i="1"/>
  <c r="A433" i="1"/>
  <c r="F429" i="1"/>
  <c r="A429" i="1"/>
  <c r="S423" i="1"/>
  <c r="F421" i="1"/>
  <c r="A421" i="1"/>
  <c r="F407" i="1"/>
  <c r="A407" i="1"/>
  <c r="S403" i="1"/>
  <c r="S398" i="1"/>
  <c r="F388" i="1"/>
  <c r="A388" i="1"/>
  <c r="F364" i="1"/>
  <c r="A364" i="1"/>
  <c r="F363" i="1"/>
  <c r="A363" i="1"/>
  <c r="F360" i="1"/>
  <c r="A360" i="1"/>
  <c r="F349" i="1"/>
  <c r="A349" i="1"/>
  <c r="F346" i="1"/>
  <c r="A346" i="1"/>
  <c r="F343" i="1"/>
  <c r="A343" i="1"/>
  <c r="F341" i="1"/>
  <c r="A341" i="1"/>
  <c r="F339" i="1"/>
  <c r="A339" i="1"/>
  <c r="F334" i="1"/>
  <c r="A334" i="1"/>
  <c r="F332" i="1"/>
  <c r="A332" i="1"/>
  <c r="F326" i="1"/>
  <c r="A326" i="1"/>
  <c r="F321" i="1"/>
  <c r="A321" i="1"/>
  <c r="F315" i="1"/>
  <c r="A315" i="1"/>
  <c r="F310" i="1"/>
  <c r="A310" i="1"/>
  <c r="F292" i="1"/>
  <c r="A292" i="1"/>
  <c r="F271" i="1"/>
  <c r="A271" i="1"/>
  <c r="F266" i="1"/>
  <c r="A266" i="1"/>
  <c r="S262" i="1"/>
  <c r="F237" i="1"/>
  <c r="A237" i="1"/>
  <c r="S236" i="1"/>
  <c r="F207" i="1"/>
  <c r="A207" i="1"/>
  <c r="F178" i="1"/>
  <c r="A178" i="1"/>
  <c r="S172" i="1"/>
  <c r="F146" i="1"/>
  <c r="A146" i="1"/>
  <c r="F145" i="1"/>
  <c r="A145" i="1"/>
  <c r="F139" i="1"/>
  <c r="A139" i="1"/>
  <c r="F137" i="1"/>
  <c r="A137" i="1"/>
  <c r="F126" i="1"/>
  <c r="A126" i="1"/>
  <c r="F124" i="1"/>
  <c r="A124" i="1"/>
  <c r="S117" i="1"/>
  <c r="S116" i="1"/>
  <c r="F114" i="1"/>
  <c r="A114" i="1"/>
  <c r="F108" i="1"/>
  <c r="A108" i="1"/>
  <c r="F94" i="1"/>
  <c r="A94" i="1"/>
  <c r="S93" i="1"/>
  <c r="F87" i="1"/>
  <c r="A87" i="1"/>
  <c r="F64" i="1"/>
  <c r="A64" i="1"/>
  <c r="S49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7" i="1" s="1"/>
  <c r="A78" i="1" s="1"/>
  <c r="A79" i="1" s="1"/>
  <c r="A80" i="1" s="1"/>
  <c r="A81" i="1" s="1"/>
  <c r="A82" i="1" s="1"/>
  <c r="A84" i="1" s="1"/>
  <c r="A85" i="1" s="1"/>
  <c r="A86" i="1" s="1"/>
  <c r="A88" i="1" s="1"/>
  <c r="A89" i="1" s="1"/>
  <c r="A91" i="1" s="1"/>
  <c r="A92" i="1" s="1"/>
  <c r="A93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7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8" i="1" s="1"/>
  <c r="A140" i="1" s="1"/>
  <c r="A141" i="1" s="1"/>
  <c r="A142" i="1" s="1"/>
  <c r="A143" i="1" s="1"/>
  <c r="A144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8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7" i="1" s="1"/>
  <c r="A268" i="1" s="1"/>
  <c r="A269" i="1" s="1"/>
  <c r="A270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1" i="1" s="1"/>
  <c r="A312" i="1" s="1"/>
  <c r="A313" i="1" s="1"/>
  <c r="A314" i="1" s="1"/>
  <c r="A316" i="1" s="1"/>
  <c r="A317" i="1" s="1"/>
  <c r="A318" i="1" s="1"/>
  <c r="A319" i="1" s="1"/>
  <c r="A320" i="1" s="1"/>
  <c r="A322" i="1" s="1"/>
  <c r="A323" i="1" s="1"/>
  <c r="A324" i="1" s="1"/>
  <c r="A325" i="1" s="1"/>
  <c r="A327" i="1" s="1"/>
  <c r="A328" i="1" s="1"/>
  <c r="A329" i="1" s="1"/>
  <c r="A330" i="1" s="1"/>
  <c r="A331" i="1" s="1"/>
  <c r="A333" i="1" s="1"/>
  <c r="A335" i="1" s="1"/>
  <c r="A336" i="1" s="1"/>
  <c r="A337" i="1" s="1"/>
  <c r="A338" i="1" s="1"/>
  <c r="A340" i="1" s="1"/>
  <c r="A342" i="1" s="1"/>
  <c r="A344" i="1" s="1"/>
  <c r="A345" i="1" s="1"/>
  <c r="A347" i="1" s="1"/>
  <c r="A348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1" i="1" s="1"/>
  <c r="A362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9" i="1" s="1"/>
  <c r="A390" i="1" s="1"/>
  <c r="A391" i="1" s="1"/>
  <c r="A392" i="1" s="1"/>
  <c r="A393" i="1" s="1"/>
  <c r="A394" i="1" s="1"/>
  <c r="A395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2" i="1" s="1"/>
  <c r="A423" i="1" s="1"/>
  <c r="A424" i="1" s="1"/>
  <c r="A425" i="1" s="1"/>
  <c r="A426" i="1" s="1"/>
  <c r="A427" i="1" s="1"/>
  <c r="A428" i="1" s="1"/>
  <c r="A430" i="1" s="1"/>
  <c r="A431" i="1" s="1"/>
  <c r="A432" i="1" s="1"/>
  <c r="A434" i="1" s="1"/>
  <c r="A435" i="1" s="1"/>
  <c r="A437" i="1" s="1"/>
  <c r="A438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1" i="1" s="1"/>
  <c r="A462" i="1" s="1"/>
  <c r="A463" i="1" s="1"/>
  <c r="A464" i="1" s="1"/>
  <c r="A465" i="1" s="1"/>
  <c r="A467" i="1" s="1"/>
  <c r="A468" i="1" s="1"/>
  <c r="A469" i="1" s="1"/>
  <c r="A470" i="1" s="1"/>
  <c r="A471" i="1" s="1"/>
  <c r="A473" i="1" s="1"/>
  <c r="A474" i="1" s="1"/>
  <c r="A475" i="1" s="1"/>
  <c r="A476" i="1" s="1"/>
  <c r="A477" i="1" s="1"/>
  <c r="A479" i="1" s="1"/>
  <c r="A481" i="1" s="1"/>
  <c r="A482" i="1" s="1"/>
  <c r="A483" i="1" s="1"/>
  <c r="A484" i="1" s="1"/>
  <c r="A486" i="1" s="1"/>
  <c r="A487" i="1" s="1"/>
  <c r="A488" i="1" s="1"/>
  <c r="A490" i="1" s="1"/>
  <c r="A491" i="1" s="1"/>
  <c r="A492" i="1" s="1"/>
  <c r="A493" i="1" s="1"/>
  <c r="A494" i="1" s="1"/>
  <c r="A496" i="1" s="1"/>
  <c r="A497" i="1" s="1"/>
  <c r="A499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1" i="1" s="1"/>
  <c r="A522" i="1" s="1"/>
  <c r="A523" i="1" s="1"/>
  <c r="A524" i="1" s="1"/>
  <c r="A525" i="1" s="1"/>
  <c r="A526" i="1" s="1"/>
  <c r="A527" i="1" s="1"/>
  <c r="A528" i="1" s="1"/>
  <c r="A529" i="1" s="1"/>
  <c r="A6" i="1"/>
  <c r="F4" i="1"/>
  <c r="A4" i="1"/>
</calcChain>
</file>

<file path=xl/sharedStrings.xml><?xml version="1.0" encoding="utf-8"?>
<sst xmlns="http://schemas.openxmlformats.org/spreadsheetml/2006/main" count="5392" uniqueCount="2025">
  <si>
    <t>№ п/п</t>
  </si>
  <si>
    <t>Род войск</t>
  </si>
  <si>
    <t>НШ и ЗКР по ВПО</t>
  </si>
  <si>
    <t>Первичная должность</t>
  </si>
  <si>
    <t>Подр-ние</t>
  </si>
  <si>
    <t>БТГр</t>
  </si>
  <si>
    <t>Допуск по номенклатуре</t>
  </si>
  <si>
    <t>Должность</t>
  </si>
  <si>
    <t>В/звание 
по штату</t>
  </si>
  <si>
    <t>В/звание 
фактическое</t>
  </si>
  <si>
    <t>Ф.И.О.</t>
  </si>
  <si>
    <t>Дата рождения</t>
  </si>
  <si>
    <t>Место рождения</t>
  </si>
  <si>
    <t>Национальность 
(в мужском роде)</t>
  </si>
  <si>
    <t>Семейное положение</t>
  </si>
  <si>
    <t>Члены семьи</t>
  </si>
  <si>
    <t>Кол-во детей до 18 лет</t>
  </si>
  <si>
    <t>Адрес регистрации</t>
  </si>
  <si>
    <t>№ телефона</t>
  </si>
  <si>
    <t>50</t>
  </si>
  <si>
    <t>55</t>
  </si>
  <si>
    <t>УПР</t>
  </si>
  <si>
    <t>I</t>
  </si>
  <si>
    <t>Командир дивизии</t>
  </si>
  <si>
    <t>генерал-майор</t>
  </si>
  <si>
    <t>полковник</t>
  </si>
  <si>
    <t>ГОРОБЕЦ А.Н.</t>
  </si>
  <si>
    <t>II</t>
  </si>
  <si>
    <t>Заместитель командира дивизии</t>
  </si>
  <si>
    <t>ВАКАНТ</t>
  </si>
  <si>
    <t>КУЗЬМИН Сергей Александрович</t>
  </si>
  <si>
    <t>Морально-психологическое обеспечение</t>
  </si>
  <si>
    <t xml:space="preserve">Заместитель командира дивизии по военно-политической работе - начальник военно-политического отделения </t>
  </si>
  <si>
    <t>подполковник</t>
  </si>
  <si>
    <t>СВЯТОЙ Андрей Николаевич</t>
  </si>
  <si>
    <t>г. Ростов-на-Дону</t>
  </si>
  <si>
    <t>немец</t>
  </si>
  <si>
    <t>холост</t>
  </si>
  <si>
    <t>отец: Святой Николай Иванович,
мать: Святая Регина Андреевна</t>
  </si>
  <si>
    <t>Ростовская, Ростов-на-Дону, УТЭП (40 лет Победы), 79</t>
  </si>
  <si>
    <t>8-985-557-82-97</t>
  </si>
  <si>
    <t>III</t>
  </si>
  <si>
    <t>Помощник  командира двизии по физической подготовке - начальник физической подготовки</t>
  </si>
  <si>
    <t>майор</t>
  </si>
  <si>
    <t>ст. лейтенант</t>
  </si>
  <si>
    <t>ЛИНЧЕНКО Илья Александрович</t>
  </si>
  <si>
    <t>гор. Золотое, Луганской области, Украина</t>
  </si>
  <si>
    <t>русский</t>
  </si>
  <si>
    <t>женат</t>
  </si>
  <si>
    <t>жена: Линченко (Панина) Алина Александровна, 14.06.1998 г.р.
Отец: линченко Александр Ильич
мать: Линченко (Профатилова) Ольга Васильевна</t>
  </si>
  <si>
    <t>Волгоградская, Попов, Полевая, 8</t>
  </si>
  <si>
    <t>8-964-610-57-36</t>
  </si>
  <si>
    <t>Начальник штаба - заместитель командира дивизии</t>
  </si>
  <si>
    <t>КЕНС Сергей Николаевич</t>
  </si>
  <si>
    <t>Заместитель начальника штаба - начальник оперативного отделения штаба</t>
  </si>
  <si>
    <t>Заместитель начальника оперативного отделения штаба</t>
  </si>
  <si>
    <t>ЧЕРНИК Дмитрий Николаевич</t>
  </si>
  <si>
    <t>п. Балкашино Балкашинского района Целиноградской области Республики Казахстан</t>
  </si>
  <si>
    <t>отец: Черние Николай Максимович, мать: Черник Галина Петровна, жена: Черник (Степанова) Анна Павловна 13.03.1984 г.р., дочь: Ксения 15.08.2011 г.р., дочь: Мария 23.03.2017 г.р., дочь: Степанова Елизавета Артуровна 2007 г.р.</t>
  </si>
  <si>
    <t xml:space="preserve">Волгоградская, Волгоград, в/ч 22220, </t>
  </si>
  <si>
    <t>8-937-564-64-70</t>
  </si>
  <si>
    <t>Старший помощник начальника отделения (по математическому моделированию) оперативного отделения штаба</t>
  </si>
  <si>
    <t>САМОХИН Виктор Владимирович</t>
  </si>
  <si>
    <t>Волгоградская область г. Котельниково</t>
  </si>
  <si>
    <t>отец: Самохин Владимир Алексеевич 1964 г.р., умер, мать: Полухина Светлана Васильевна, жена: Самохина Наталья Викторовна 29.08.1987 г.р., дочь: Алина 01.06.2010 г.р., дочь: Мария 05.06.2014 г.р.</t>
  </si>
  <si>
    <t>Волгоградская, Волгоград, Шекснинская, 38</t>
  </si>
  <si>
    <t>8-999-632-32-76</t>
  </si>
  <si>
    <t>Помощник начальника оперативного отделения штаба</t>
  </si>
  <si>
    <t>капитан</t>
  </si>
  <si>
    <t>КОСОВ Николай Петрович</t>
  </si>
  <si>
    <t>г. Кострома</t>
  </si>
  <si>
    <t>отец: Косов Петр Иванович, мать: Косова Татьяна Николаевна</t>
  </si>
  <si>
    <t>Волгоградская, Волгоград, Качинцев, 108</t>
  </si>
  <si>
    <t>8-937-696-58-09</t>
  </si>
  <si>
    <t>Начальник разведки - заместитель начальника штаба по разведке разведывательного отделения штаба</t>
  </si>
  <si>
    <t>ИВАНОВ Олег Владимирович</t>
  </si>
  <si>
    <t>г. Арзамас Горьковской обл.</t>
  </si>
  <si>
    <t>жена: Поломонова Наталья Владимировна, 16.06.1976 г.р.
Сын: Иван, 11.02.1994 г.р.;
сын: Артемий, 06.02.2014 г.р.;
дочь: Ангелина, 25.02.2016 г.р.</t>
  </si>
  <si>
    <t>Новосибирская обл., г. Бердск, мкр. Северный, д. 20, кв. 45</t>
  </si>
  <si>
    <t>8-928-749-89-83</t>
  </si>
  <si>
    <t>Старший омощник начальника разведки разведывательного отделения штаба</t>
  </si>
  <si>
    <t>ЮШИН Александр Александрович</t>
  </si>
  <si>
    <t>г. Санкт-Петербург</t>
  </si>
  <si>
    <t>жена: Юшина Мария Игоревна 28.01.1980 г.р., сын: Владимир 27.02.2011 г.р., сын: Александр 04.08.2012 г.р., сын: Игорь 16.12.2014 г.р.</t>
  </si>
  <si>
    <t>Волгоградская, Волгоград, Качинцев, 108а</t>
  </si>
  <si>
    <t>8-987-642-80-14</t>
  </si>
  <si>
    <t>Помощник начальника разведки разведывательного отделения штаба</t>
  </si>
  <si>
    <t>ОХОТИН Игорь Юрьевич</t>
  </si>
  <si>
    <t>Начальник пункта управления разведывательного отделения штаба</t>
  </si>
  <si>
    <t>ЗАДВОРНОВ Евгений Михайлович</t>
  </si>
  <si>
    <t>г. Благовещенск Амурской области</t>
  </si>
  <si>
    <t>мать: Задворнова Наталья Николаевна, отец: Задворнов Михаил Иванович, жена: Задворнова (Шекк) Виктория Александровна 28.11.1990 г.р., сын: Тимур 08.03.2018 г.р.</t>
  </si>
  <si>
    <t>8-988-015-59-51</t>
  </si>
  <si>
    <t>связь</t>
  </si>
  <si>
    <t>Начальник связи - заместитель начальника штаба по связи отделения связи штаба</t>
  </si>
  <si>
    <t>САВЧУК Вячеслав Валентинович</t>
  </si>
  <si>
    <t>г. Пятигорск Ставропольского края</t>
  </si>
  <si>
    <t>жена: Савчук (белогаева) Ирина Николаевна, 1980 г.р.;
сын: Максим, 20.01.1999 г.р.;
дочь: Кристина, 07.08.2003 г.р.;
мать: Савчук Валентина Николаевна,;
отец: Савчук Валентин Алексеевич</t>
  </si>
  <si>
    <t>8-928-303-39-33</t>
  </si>
  <si>
    <t>Помощник начальника отделения связи штаба</t>
  </si>
  <si>
    <t>лейтенант</t>
  </si>
  <si>
    <t>ГОЛОВКОВ Роман Евгеньевич</t>
  </si>
  <si>
    <t>г. Нарьян-Мар, Ненецкого авономного округа</t>
  </si>
  <si>
    <t>отец: Головков Евгений Александрович, мать: Головкова Галина Викторовна</t>
  </si>
  <si>
    <t>Краснодарский, Мостовской, Чапаева, 67</t>
  </si>
  <si>
    <t>8-981-966-75-71</t>
  </si>
  <si>
    <t>Начальник пункта (оперативный дежурный)-заместитель начальника штаба пункта управления штаба</t>
  </si>
  <si>
    <t>РЕДЬКОВИЧ Сергей Васильевич</t>
  </si>
  <si>
    <t>х. Бубновский Волгоградская область</t>
  </si>
  <si>
    <t>отец: Редькович Василий Иванович, мать: Позднашова Светлана Викторовна</t>
  </si>
  <si>
    <t>Омская, Омск, Военный 14-й, 32</t>
  </si>
  <si>
    <t>8-987-652-64-61
8-929-782-68-44</t>
  </si>
  <si>
    <t>Оперативный дежурный пункта управления штаба</t>
  </si>
  <si>
    <t>ИВАНОВ Максим Витальевич</t>
  </si>
  <si>
    <t>г. Рыбачье Иссык-Кульская область Казахская ССР</t>
  </si>
  <si>
    <t>отец: Иванов Виталий Александрович, мать: Иванова Галина Викторовна, жена: Иванова (Гончарова) Светлана Александровна 29.03.1985 г.р., дочь: Агата 14.01.2015 г.р.</t>
  </si>
  <si>
    <t>Волгоградская, Волгоград, им Войкова, 9</t>
  </si>
  <si>
    <t>8-937-548-97-55</t>
  </si>
  <si>
    <t>ЛАПИН Артем Александрович</t>
  </si>
  <si>
    <t>п. Джида Джидинского района республики Бурятия</t>
  </si>
  <si>
    <t>мать: Лапина Светлана Викторовна 1976 г.р., отец: Лапин Александр Александрович 1972 г.р.</t>
  </si>
  <si>
    <t>8-914-592-39-81</t>
  </si>
  <si>
    <t>ВЕРБЕНКО Петр Петрович</t>
  </si>
  <si>
    <t>с. Новый Свет Калачинского р-на Омской обл.</t>
  </si>
  <si>
    <t>мать: Медведева Елена Николаевна 1972 г.р., жена: Вербенко (Игнатова) Олеся Максимовна 20.04.1990 г.р.</t>
  </si>
  <si>
    <t>Омская, Новый Свет, Зеленая, 80</t>
  </si>
  <si>
    <t>8-937-084-63-99
8-937-091-20-87</t>
  </si>
  <si>
    <t>Начальник службы радиоэлектронной борьбы штаба</t>
  </si>
  <si>
    <t>РЯЗАНЦЕВ Станислав Евгеньевич</t>
  </si>
  <si>
    <t>г. Потсдам</t>
  </si>
  <si>
    <t>отец: Рязанцев Евгений Александрович, мать: Рязанцева Валентина Андреевна, жена: Рязанцева (Столповкич) Марина Ивановна 1973 г.р., дочь: Евгения 27.09.2001 г.р.</t>
  </si>
  <si>
    <t>Краснодарский, Краснодар, им Александра Покрышкина, 4/5</t>
  </si>
  <si>
    <t>8-937-696-37-19
8-906-174-64-69
8-987-655-70-96</t>
  </si>
  <si>
    <t>Помощник начальника службы радиоэлектронной борьбы штаба</t>
  </si>
  <si>
    <t>ПИЦЫК Александр Геннадьевич</t>
  </si>
  <si>
    <t>п. Бараниха Чаунского р-на Магаданской обл.</t>
  </si>
  <si>
    <t>Отец: Пицык Геннадий Александрович 12.12.1964 г.р., Мать: Пицык (Каратеева) Виктория Викторовна 18.05.1967 г.р.</t>
  </si>
  <si>
    <t>Воронежская, Воронеж, Спокойный, 18</t>
  </si>
  <si>
    <t>8-937-692-13-53</t>
  </si>
  <si>
    <t>Заместитель начальника штаба - начальник отделения мобилизационного и комплектования штаба</t>
  </si>
  <si>
    <t>ЖЕЛТИКОВ Евгений Олегович</t>
  </si>
  <si>
    <t>г. Кропоткин Краснодарского края</t>
  </si>
  <si>
    <t>мать: Желтикова Елена Борисовна, отец: Желтиков Олег Валерьевич</t>
  </si>
  <si>
    <t>Краснодарский, Кропоткин, Гоголя ул, 219</t>
  </si>
  <si>
    <t>8-961-659-94-59</t>
  </si>
  <si>
    <t>Старший офицер отделения мобилизационного и комплектования штаба</t>
  </si>
  <si>
    <t>КОЛОТЕВ Анатолий Павлович</t>
  </si>
  <si>
    <t>п. Печенга Печенгского района Мурманской области</t>
  </si>
  <si>
    <t>жена:Колотева (Колосова) Анна Александровна, 03.12.1996 г.р.
Дочь: Екатерина, 04.10.2019 г.р.
Отец: Колотев Павел Анатольевич
Мать: Колотева Наталья Анатольевна</t>
  </si>
  <si>
    <t>Краснодарский, Тимашевск, Чкалова, 1</t>
  </si>
  <si>
    <t>8-911-902-56-22</t>
  </si>
  <si>
    <t>Начальник группы (обеспечения мобилизационного развертывания) отделения мобилизационного и комплектования штаба</t>
  </si>
  <si>
    <t>ЖИРНОВ Андрей Викторович</t>
  </si>
  <si>
    <t>г. Волгоград Волгоградской области</t>
  </si>
  <si>
    <t>отец: Жирнов Виктор Александрович, мать: Жирнова (Лихачева) Елена Геннадьевна, жена: Жирнова (Новикова) Дарья Владимировна 27.09.1990 г.р., дочь: Юлия 24.08.2013 г.р.</t>
  </si>
  <si>
    <t>Волгоградская, Рыбинка, Молодежная, 8</t>
  </si>
  <si>
    <t>8-927-541-96-33</t>
  </si>
  <si>
    <t>Начальник отделения-заместитель начальника штаба по службе войск и безопасности военной службы отделения службы войск и безопасности военной службы штаба</t>
  </si>
  <si>
    <t>РЖАВСКИЙ Александр Александрович</t>
  </si>
  <si>
    <t>смт Ленино Ленинского района Республики Крым</t>
  </si>
  <si>
    <t>отец: Ржавский Александр Александрович, мать: Ржавская Ирина Николаевна, жена: Ржавская (Творилова) Татьяна Евгеньевна</t>
  </si>
  <si>
    <t>8-904-405-27-73</t>
  </si>
  <si>
    <t>Старший помощник начальника отделения службы войск и безопасности военной службы штаба</t>
  </si>
  <si>
    <t>ЗУЕВ Михаил Михайлович</t>
  </si>
  <si>
    <t>с. Малое Полпино, Брянский р-н, Брянская область</t>
  </si>
  <si>
    <t>мать: Зуева (Грачева) Валентина Григорьевна, отец: Зуев Михаил Николаевич, мать: Зуева (Бадаева) Ксения Николаевна 18.11.1989 г.р., дочь: Миланья 15.06.2016 г.р.</t>
  </si>
  <si>
    <t>Брянская, Малое Полпино, 70 лет Октября, 23</t>
  </si>
  <si>
    <t>8-961-682-98-99</t>
  </si>
  <si>
    <t>Начальник службы- штурман (беспилотной авиации) штаба</t>
  </si>
  <si>
    <t>КОЛОМЫЦЕВ Александр Александрович</t>
  </si>
  <si>
    <t>п. Черноморский Северного р-на Краснодарского края</t>
  </si>
  <si>
    <t>жена: Коломыцева ( Гузь) Елена Петровна, 17.11.1983 г.р.
Отец: Коломыцев Александр Николаевич
мать: Коломыцева Валентина Николаевна</t>
  </si>
  <si>
    <t>Ростовская, Персиановский, Кадамовская, 1</t>
  </si>
  <si>
    <t>8-927-064-10-30</t>
  </si>
  <si>
    <t>Начальник топографической службы штаба</t>
  </si>
  <si>
    <t>ХРИСТЕНКО Антон Николаевич</t>
  </si>
  <si>
    <t>хут. Евстратов Клетского района Волгоградской области</t>
  </si>
  <si>
    <t>жена: Христенко (Жамкова) Анна Юрьевна, 26.05.1986 г.р., сын: Христенко Ярослав Антонович, 02.12.2009 г.р., отец: Христенко Николай Викторович, 13.08.1960 г.р., мать: Христенко Елена Ярославовна, 01.07.1962 г.р.</t>
  </si>
  <si>
    <t>г. Волгоград, ул. Шекснинская, д. 8а, кв. 67</t>
  </si>
  <si>
    <t>8-961-680-81-60
8-928-964-35-07</t>
  </si>
  <si>
    <t>Начальник службы -помощник начальника штаба по защите государственной тайны службы защиты государственной тайны штаба</t>
  </si>
  <si>
    <t>ПОТАПОВИЧ Денис Юрьевич</t>
  </si>
  <si>
    <t>г. Волжский Волгоградской области</t>
  </si>
  <si>
    <t>отец: Потапович Юрий Александрович, жена: Потапович (Пономарева) Елена Николаевна 25.08.1981 г.р., дочь: Виктория 10.11.2006 г.р., сын: Дмитрий 17.09.2015 г.р.</t>
  </si>
  <si>
    <t>8-917-835-63-64</t>
  </si>
  <si>
    <t>первичная</t>
  </si>
  <si>
    <t>Офицер (по обеспечению безопасности информации) службы защиты государственной тайны штаба</t>
  </si>
  <si>
    <t>ПЕТИН Сергей Викторович</t>
  </si>
  <si>
    <t>с. Новозаведенное Георгиевского района Ставропольского края</t>
  </si>
  <si>
    <t>отец: Петин Виктор Иванович, жена: Петина Светлана Сергеевна, сын: Андрей 17.02.2007 г., сын: Виталий 14.01.2015 г.р., дочь: Людмила 23.10.2018 г.р.</t>
  </si>
  <si>
    <t>Ставропольский, Зеленокумск, Первомайская, 120</t>
  </si>
  <si>
    <t>8-937-092-30-00
8-968-261-30-00</t>
  </si>
  <si>
    <t>МУРЗИН К.И.</t>
  </si>
  <si>
    <t xml:space="preserve">Начальник отделения боевой подготовки </t>
  </si>
  <si>
    <t>КАЗЬМИН Анатолий Анатольевич</t>
  </si>
  <si>
    <t>Помощник начальника отделения боевой подготовки штаба</t>
  </si>
  <si>
    <t>ФИЛИППОВ Александр Вячеславович</t>
  </si>
  <si>
    <t>город Усть-Илимск, Иркутской области</t>
  </si>
  <si>
    <t>мать: Филиппова Оксана Анатольевна, отец: Филиппов Вячеслав Альбертович, жена: Филиппова Анастасия Андреевна 28.05.1997 г.р.</t>
  </si>
  <si>
    <t>8-904-774-29-63</t>
  </si>
  <si>
    <t>артиллерия</t>
  </si>
  <si>
    <t>Начальник артиллерии - начальник отделения артиллерии</t>
  </si>
  <si>
    <t>ГОРДЕЕВ Сергей Петрович</t>
  </si>
  <si>
    <t>Начальник штаба отделения артиллерии</t>
  </si>
  <si>
    <t>ВАКАНТ (ВЫПУСКНИК МВАА)</t>
  </si>
  <si>
    <t>Начальник разведки отделения артиллерии</t>
  </si>
  <si>
    <t>МАГАФУРОВ Марат Фазыльянович</t>
  </si>
  <si>
    <t>г. Учалы Республики Башкортостан</t>
  </si>
  <si>
    <t>башкир</t>
  </si>
  <si>
    <t>мать: Магафурова Фануза Махмутовна, жена: Магафурова (Яшкова) Татьяна Владимировна 31.10.1988 г.р., дочь: Ева 18.12.2012 г.р., сын: Вадим 16.11.2015 г.р.</t>
  </si>
  <si>
    <t>Волгоградская, Волгоград, Владимирская, 53</t>
  </si>
  <si>
    <t>8-937-731-65-61
8-917-646-97-99</t>
  </si>
  <si>
    <t>Помощник начальника штаба отделения артиллерии</t>
  </si>
  <si>
    <t>ПВО</t>
  </si>
  <si>
    <t>Начальник противоввоздушной обороны-начальник отделения противовоздушной обороны</t>
  </si>
  <si>
    <t>УС Евгений Николаевич</t>
  </si>
  <si>
    <t>ст. Новопластуновская Павловский район Краснодарского края</t>
  </si>
  <si>
    <t>мать: Ус Людмила Владимировна, жена: Ус (Семенькова) Светлана Владимировна 12.11.1980 г.р., дочь: Елизавета 20.06.2004 г.р., дочь: Ева 10.03.2015 г.р.</t>
  </si>
  <si>
    <t>Волгоградская, Волгоград, Качинцев, 108А</t>
  </si>
  <si>
    <t>8-917-720-64-56
8-927-066-49-94
8-961-687-68-71</t>
  </si>
  <si>
    <t>Помощник начальника отделения противовоздушной обороны</t>
  </si>
  <si>
    <t>КОНОНОВ Спартак Сергеевич</t>
  </si>
  <si>
    <t>с. Кугульта Грачевского района Ставропольского края</t>
  </si>
  <si>
    <t>отец: Кононов Сергей владимирович 1954 г.р., мать: Кононова Валентина Васильевна 1958 г.р., жена: Кононова (Клычева) Юлия Александровна 10.06.1984 г.р., сын: Богдан 02.01.2010 г.р., дочь: Илона 17.07.2016 г.р.</t>
  </si>
  <si>
    <r>
      <rPr>
        <sz val="12"/>
        <color rgb="FF000000"/>
        <rFont val="Times New Roman"/>
        <family val="1"/>
        <charset val="204"/>
      </rPr>
      <t xml:space="preserve">8-999-629-48-95
</t>
    </r>
    <r>
      <rPr>
        <b/>
        <sz val="12"/>
        <rFont val="Times New Roman"/>
        <family val="1"/>
        <charset val="204"/>
      </rPr>
      <t>8-996-509-02-36</t>
    </r>
  </si>
  <si>
    <t>инженерные</t>
  </si>
  <si>
    <t>Начальник инженерной службы</t>
  </si>
  <si>
    <t>ЕРМАКОВ Юрий Дмитриевич</t>
  </si>
  <si>
    <t>РХиБЗ</t>
  </si>
  <si>
    <t>Начальник службы радиационной, химической и биологической защиты</t>
  </si>
  <si>
    <t>БУЛГАКОВ Сергей Владиславович</t>
  </si>
  <si>
    <t>г. Чербакуль Челябинской обл.</t>
  </si>
  <si>
    <t>мать: Булгакова Наталья Ивановна, жена: Булгакова (Майсиевич) Юлия Анатольевна 1985 г.р., дочь: Светлана 10.07.2010 г.р.</t>
  </si>
  <si>
    <t>8-927-256-00-49
8-937-696-58-05</t>
  </si>
  <si>
    <t>медицинская служба</t>
  </si>
  <si>
    <t>Начальник медицинской службы</t>
  </si>
  <si>
    <t>подполковник м/с</t>
  </si>
  <si>
    <t>майор м/с</t>
  </si>
  <si>
    <t>ЗВЕРЕВ Дмитрий Валерьевич</t>
  </si>
  <si>
    <t>Начальник отделения кадров</t>
  </si>
  <si>
    <t>ГОРШЕНЁВ Андрей Анатольевич</t>
  </si>
  <si>
    <t>с. Поздеевка Ромненского р-на Амурской обл.</t>
  </si>
  <si>
    <t>Жена: Горшенёва (Норкина) Анастасия Владимировна 20.07.1988 г.р., Дочь: Таисия 02.04.2013, Отец: Горшенев Анатолий Александрович,19.11.1954 г.р., Мать: Горшенёва Галина Леонидовна 15.02.1957 г.р.</t>
  </si>
  <si>
    <t>Адыгея, Майкоп, 7-Й ПЕРЕУЛОК, 1</t>
  </si>
  <si>
    <t>8-928-211-91-11</t>
  </si>
  <si>
    <t>Помощник начальника отделения кадров</t>
  </si>
  <si>
    <t>МУРАШКИН Владимир Валерьевич</t>
  </si>
  <si>
    <t>Заместитель командира дивизии по вооружению - начальник технической части</t>
  </si>
  <si>
    <t>ИСААК Александр Иванович</t>
  </si>
  <si>
    <t>Начальник службы ракетно-артиллерийского вооружения технической части</t>
  </si>
  <si>
    <t>МОРОЗОВ Алексей Александрович</t>
  </si>
  <si>
    <t>г. Пенза</t>
  </si>
  <si>
    <t>отец: Морозов Александр Алексеевич, мать: Морозова Татьяна Александровна, жена: Морозова (Гречихина) Юлия Владимировна 1978 г.р., сын: Илья 05.12.2003 г.р.</t>
  </si>
  <si>
    <t>Волгоградская, Волгоград, им маршала Г.К.Жукова, 11</t>
  </si>
  <si>
    <t>8-909-378-53-52</t>
  </si>
  <si>
    <t>Помощник начальника службы ракетно-артиллерийского вооружения технической части</t>
  </si>
  <si>
    <t xml:space="preserve">МИШАНИН Денис Сергеевич </t>
  </si>
  <si>
    <t>гор. Пенза</t>
  </si>
  <si>
    <t>Жена: Мишанина (Арапова) Евгения Сергеевна, 05.10.1997 г.р. Отец: Мишанин Сергей Викторович, 22.04.1972 г.р. Мать: Мишанина (Федорова) Юлия Викторовна, 03.01.1972 г.р.</t>
  </si>
  <si>
    <t>Пензенская, Засечное, Радужная, 3</t>
  </si>
  <si>
    <t>8-937-426-20-69</t>
  </si>
  <si>
    <t>Инженер службы ракетно-артиллерийского вооружения технической части</t>
  </si>
  <si>
    <t>Начальник бронетанковой службы технической части</t>
  </si>
  <si>
    <t>Помощник начальника бронетанковой службы технической части</t>
  </si>
  <si>
    <t>СЛЕТА Юрий Юрьевич</t>
  </si>
  <si>
    <t>с. Николаевка Вейделевского района Белгородской области</t>
  </si>
  <si>
    <t>мать: Слета Лариса Васильевна, отец: Слета Юрий Борисович, жена: Слета (Тарасова) Алина Юрьевна 04.12.1993 г.р., дочь: Милана 07.02.2018 г.р.</t>
  </si>
  <si>
    <t>Белгородская, Николаевка, Мира, 74</t>
  </si>
  <si>
    <t>8-904-770-56-55</t>
  </si>
  <si>
    <t>Начальник автомобильной службы технической части</t>
  </si>
  <si>
    <t>ЛЕВИЦКИЙ Владимир Сергеевич</t>
  </si>
  <si>
    <t>г. Камышин Волгоградской области</t>
  </si>
  <si>
    <t>отец: Левицкий Сергей Иванович, мать: Левицкая Надежда Николаевна, жена: Левицкая (Сёмина) Ксения Юрьевна 1983 г.р., дочь: Виктория 19.02.2014 г.р., сын: Роман 10.08.2016 г.р.</t>
  </si>
  <si>
    <t>Волгоградская, Городище, Нефтяников, 11а</t>
  </si>
  <si>
    <t>8-927-060-43-47</t>
  </si>
  <si>
    <t>Помощник начальника автомобильной службы технической части</t>
  </si>
  <si>
    <t>Начальник метрологической службы технической части</t>
  </si>
  <si>
    <t>УСТИНОВА Анастасия Сергеевна</t>
  </si>
  <si>
    <t>г. Семикаракорск Ростовской области</t>
  </si>
  <si>
    <t>не замужем</t>
  </si>
  <si>
    <t xml:space="preserve">отец: Устинов Сергей Алексеевич,мать: Устинова (Морозова) Тамара Васильевна </t>
  </si>
  <si>
    <t>Ростовская, Семикаракорск, Ленина, 12</t>
  </si>
  <si>
    <t>8-918-227-29-02</t>
  </si>
  <si>
    <t>тыл</t>
  </si>
  <si>
    <t>Заместитель командира бригады по тылу - начальник тыла</t>
  </si>
  <si>
    <t>Начальник отделения-заместитель начальника тыла организационно-планового отделения тыла</t>
  </si>
  <si>
    <t>Начальник службы горючего и смазочных материалов тыла</t>
  </si>
  <si>
    <t>ЧЕРНОБАЕВ Дмитрий Сергеевич</t>
  </si>
  <si>
    <t>гор. Ростов-на-Дону</t>
  </si>
  <si>
    <t>жена: Чернобаева (Фадеева) Снежана Николаевна, 10.01.1990 г.р.
Дочь: Чернобаева Ева Дмитриевна, 12.02.2020 г.р.
Отец: Чернобаев Сергей Николаевич, 24.07.1964 г.р.
Мать: Чернобаева (дубовская) Марина Владимировна, 27.12.1966 г.р.</t>
  </si>
  <si>
    <t>Ставропольский, Ставрополь, Лермонтова, 204</t>
  </si>
  <si>
    <t>8-961-483-81-28</t>
  </si>
  <si>
    <t>Начальник продовольственной службы тыла</t>
  </si>
  <si>
    <t>ДУБЕШКО Николай Александрович</t>
  </si>
  <si>
    <t>Начальник вещевой службы тыла</t>
  </si>
  <si>
    <t>ЛАТАЕВ Станислав Игоревич</t>
  </si>
  <si>
    <t>Разв.бат</t>
  </si>
  <si>
    <t>Командир разведывательного батальона</t>
  </si>
  <si>
    <t>БЕЛЯЕВ Николай Васильевич</t>
  </si>
  <si>
    <t>с. Русское Сосновского района Тамбовской области</t>
  </si>
  <si>
    <t>отец: Беляев Василий Николаевич, жена: Беляева (Кобякова) Галина Васильевна 1980 г.р., сын: Роман 20.06.2002 г.р.</t>
  </si>
  <si>
    <t>8-961-072-22-20</t>
  </si>
  <si>
    <t>Заместитель командира батальона по военно-политической работе разведывательного батальона</t>
  </si>
  <si>
    <t>ХВАТКОВ Николай Николаевич</t>
  </si>
  <si>
    <t>г. Магдебург</t>
  </si>
  <si>
    <t>отец: Хватков Николай Николаевич, мать: Хваткова Елена Геннадьевна, жена: Хваткова (Абузярова) Юлия Александровна 24.09.1986 г.р., сын: Николай 02.06.2011 г.р., сын: Даниил 02.10.2012 г.р., сын: Илья 02.10.2012 г.р.</t>
  </si>
  <si>
    <t>Волгоградская, Краснослободск, Терешковой, 29</t>
  </si>
  <si>
    <t>8-961-087-15-83
8-961-670-98-04</t>
  </si>
  <si>
    <t>Заместитель командира батальона по вооружению разведывательного батальона</t>
  </si>
  <si>
    <t>НАКОНЕЧНЫЙ Александр Викторович</t>
  </si>
  <si>
    <t>г. Уссурийск Приморского края</t>
  </si>
  <si>
    <t>жена: Наконечный Виктор Владимирович, мать: Наконечная (Подкорытова) Татьяна Владимировна, жена: Зюзина Екатерина Евгеньевна 10.07.1985 г.р., дочь: Полина 02.02.2014 г.р.</t>
  </si>
  <si>
    <t>8-917-336-65-76</t>
  </si>
  <si>
    <t>Начальник штаба</t>
  </si>
  <si>
    <t>Начальник штаба - заместитель командира батальона разведывательного батальона</t>
  </si>
  <si>
    <t>ЧЕРНИК Иван Васильевич</t>
  </si>
  <si>
    <t>г. Дубоссары Молдавская ССР</t>
  </si>
  <si>
    <t>разведен</t>
  </si>
  <si>
    <t>отец: Черник Василий Юрьевич, мать: Черник Татьяна Ивновна, 
сын: Черник Артём Иванович, 22.09.2019 г.р.</t>
  </si>
  <si>
    <t>8-927-501-86-99</t>
  </si>
  <si>
    <t>Командир 1 разведывательной роты разведывательного батальона</t>
  </si>
  <si>
    <t>УРАЛОВ Сергей Валерьевич</t>
  </si>
  <si>
    <t>г. Чимкент Казахской ССР</t>
  </si>
  <si>
    <t>мать: Уралова (Злобина) Галина Георгиевна, 
сын: Уралов Александр Сергеевич, 01.08.2018 г.р.отец: Уралов Валерий Александрович, жена: Уралова (Нещерет) Елена Владимировна 05.08.1988 г.р.</t>
  </si>
  <si>
    <t>8-937-547-22-20
8-987-654-09-61</t>
  </si>
  <si>
    <t>Командир 1 разведывательного взвода 1 разведывательной роты разведывательного батальона</t>
  </si>
  <si>
    <t>МУРЗИН Александр Анатольевич</t>
  </si>
  <si>
    <t>с. Погадаево Приагунского р-на Читинской обл</t>
  </si>
  <si>
    <t>мать: Мурзина Светлана Георгиевна, отец: Мурзин Анатолий Сергеевич, жена: Мурзина Дарья Дмитриевна 28.07.1997 г.р., дочь: Евгения 29.10.2016 г.р.</t>
  </si>
  <si>
    <t>Забайкальский, Краснокаменск, 804</t>
  </si>
  <si>
    <t>8-999-452-11-96</t>
  </si>
  <si>
    <t>Командир 2 разведывательного взвода 1 разведывательной роты разведывательного батальона</t>
  </si>
  <si>
    <t xml:space="preserve">КУРАСОВ Константин Андреевич </t>
  </si>
  <si>
    <t xml:space="preserve"> г. Татарск Новосибирской обл.</t>
  </si>
  <si>
    <t>жена: Курасова ( Зуенко) Татьяна Викторовна, 25.01.1997 г.р.
Отец: Курасов Андрей Алексеевич, 31.03.1968 г.р.
Мать: Васильева (Виницкая) Марина Юрьевна, 03.11.1968 г.р.
Отчим: Васильев Михаил Викторович, 23.10.1963 г.р.</t>
  </si>
  <si>
    <t>Новосибирская, Татарск, Некрасова, 38</t>
  </si>
  <si>
    <t>8-999-463-46-52</t>
  </si>
  <si>
    <t>Командир роты глубинной разведки разведывательного батальона</t>
  </si>
  <si>
    <t>МАНЬШИН Иван Сергеевич</t>
  </si>
  <si>
    <t>хутор Кругловка Нехаевский район Волгоградская область РСФСР</t>
  </si>
  <si>
    <t>жена: Маньшина (Стародубцева) Ольга Сергеевна, 01.10.1992 г.р., дочь: Есения, 16.11.2019 г.р., мать: Исаченко Татьяна Григорьевна, отец: Исаченко Сергей Владимирович</t>
  </si>
  <si>
    <t>Волгоградская, Кругловка, Березовый, 6</t>
  </si>
  <si>
    <t>8-937-566-59-66</t>
  </si>
  <si>
    <t>Заместитель командира роты - инструктор воздушно-десантной подготовки роты глубинной разведки разведывательного батальона</t>
  </si>
  <si>
    <t>БОЧКАРЕВ Глеб Анатольевич</t>
  </si>
  <si>
    <t>п. Новорайчихинск г. Райчихинска Амурской области</t>
  </si>
  <si>
    <t>мать: Карезина Светлана Константиновна 1971 г.р., жена: Бочкарева (Саяпина) Мария Петровна 02.11.1990 г.р., дочь: Кира 30.06.2018 г.</t>
  </si>
  <si>
    <t>Волгоградская, Волгоград, Водный, Прибрежная, 19</t>
  </si>
  <si>
    <t>8-937-535-39-95</t>
  </si>
  <si>
    <t>Заместитель командира роты по военно-политической работе роты глубинной разведки разведывательного батальона</t>
  </si>
  <si>
    <t>КУЗНЕЦОВ Александр Николаевич</t>
  </si>
  <si>
    <t>ст. Дондуковская</t>
  </si>
  <si>
    <t>отец: Кузнецов Николай Иванович, мать: Кузнецова (Прошина) Елена Николаевна</t>
  </si>
  <si>
    <t>Адыгея, Дондуковская, Октябрьская, 268</t>
  </si>
  <si>
    <t>8-964-707-07-99</t>
  </si>
  <si>
    <t>Командир 1 взвода глубинной разведки роты глубинной разведки разведывательного батальона</t>
  </si>
  <si>
    <t>СУХОНОСОВ Роман Андреевич</t>
  </si>
  <si>
    <t>г. Краснодар</t>
  </si>
  <si>
    <t>отец: Сухоносов Андрей Владимирович
мать: Сухоносова ( Петрова) Вера Александровна</t>
  </si>
  <si>
    <t>Краснодарский, Кропоткин, Обрывной, 7</t>
  </si>
  <si>
    <t>8-985-100-06-11</t>
  </si>
  <si>
    <t>ВЫПУСКНИК НВОКУ</t>
  </si>
  <si>
    <t>Командир 2 взвода глубинной разведки роты глубинной разведки разведывательного батальона</t>
  </si>
  <si>
    <t>ПЕТРОВ Павел Александрович</t>
  </si>
  <si>
    <t>г. Москва</t>
  </si>
  <si>
    <t>мать: Петрова (Апраксимова) Алла Алексеевна, отец: Петров Александр Викторович умер 21.03.2011 г.</t>
  </si>
  <si>
    <t>г. Москва, Волжский бульвар, д. 13, корп. 1, кв. 55</t>
  </si>
  <si>
    <t>8-999-467-20-10</t>
  </si>
  <si>
    <t>Командир 3 взвода глубинной разведки роты глубинной разведки разведывательного батальона</t>
  </si>
  <si>
    <t>НАГМЕТОВ Юрий Рустэмович</t>
  </si>
  <si>
    <t>татарин</t>
  </si>
  <si>
    <t>отец: Нагметов Рустэм Вильданович
мать: Нагметова (Семененко) Ирина Юрьевна</t>
  </si>
  <si>
    <t>Волгоградская, Волгоград, им Кирова, 113</t>
  </si>
  <si>
    <t>8-988-970-68-57</t>
  </si>
  <si>
    <t>Командир 4 взвода глубинной разведки роты глубинной разведки разведывательного батальона</t>
  </si>
  <si>
    <t>ВАКАНТ (ВЫПУСКНИК НВОКУ)</t>
  </si>
  <si>
    <t>Командир роты радиоэлектронной разведки разведывательного батальона</t>
  </si>
  <si>
    <t>БАРСКИЙ Дмитрий Георгиевич</t>
  </si>
  <si>
    <t>г. Нижний Новгород</t>
  </si>
  <si>
    <t>мать: Барская алина Федоровна, жена: Барская (Угодникова) Мария Валерьевна 30.10.1990 г.р.</t>
  </si>
  <si>
    <t>Нижегородская, Нижний Новгород, Таллинская, 27А</t>
  </si>
  <si>
    <t>8-917-646-77-11
8-962-760-24-00</t>
  </si>
  <si>
    <t>Начальник группы обработки информации роты радиоэлектронной разведки разведывательного батальона</t>
  </si>
  <si>
    <t>Командир 1 взвода радиоразведки роты радиоэлектронной разведки разведывательного батальона</t>
  </si>
  <si>
    <t>ГРИШИН Александр Борисович</t>
  </si>
  <si>
    <t>г. Комсомольск-на-Амуре, Хабаровского края</t>
  </si>
  <si>
    <t>мать: Гришина Елена Анатольевна 1974 г.р., жена: Гришина (Макаренко) Олеся Владимировна 23.02.1998 г.р.</t>
  </si>
  <si>
    <t>Пензенская, Чемодановка, Юбилейная, 5</t>
  </si>
  <si>
    <t>8-988-037-75-21</t>
  </si>
  <si>
    <t>ВЫПУСКНИК ВУР</t>
  </si>
  <si>
    <t>Командир 2 взвода радиоэлектронной разведки роты радиоэлектронной разведки разведывательного батальона</t>
  </si>
  <si>
    <t>ХАРИЧЕВ Роман Александрович</t>
  </si>
  <si>
    <t>с. Чаромское Шекснинского р-на Вологодской обл.</t>
  </si>
  <si>
    <t>Отец: Харичев Александр Николаевич, 04.10.1967 г.р.
Мать: Харичева Татьяна Анатольевна, 10.06.1968 г.р.</t>
  </si>
  <si>
    <t>Вологодская, Чаромское, Центральная, 27</t>
  </si>
  <si>
    <t>8-968-279-22-98</t>
  </si>
  <si>
    <t>Начальник группы сбора и обработки информации (наземной и воздушной разведки) разведывательного батальона</t>
  </si>
  <si>
    <t>КЛЮЕВ Алексей Владимирович</t>
  </si>
  <si>
    <t>Астраханская область Лиманский район п. Лиман</t>
  </si>
  <si>
    <t>отец: Клюев Владимир Аликович 1960 г.р., жена: Клюева (Дюканова) Неонила Андреевна 21.06.1988 г.р., чын: Сергей 09.11.2007 г.р., дочь: Каролина 27.08.2015 г.р.</t>
  </si>
  <si>
    <t>Волгоградская, Волгоград, Шекснинская, 30</t>
  </si>
  <si>
    <t>8-961-061-84-18</t>
  </si>
  <si>
    <t>Начальник связи - командир взвода связи разведывательного батальона</t>
  </si>
  <si>
    <t>СТРИБНЫЙ Константин Витальевич</t>
  </si>
  <si>
    <t>с. Русаново Новохоперского района Воронежской обласи</t>
  </si>
  <si>
    <t>отец: Стрибный Виталий Иванович 12.02.1961 г.р., мать: Стрибная Мария Витальевна 23.07.1963 г.р., жена: Стрибная Анна Вдимировна 09.12.1990 г.р., сын: Егор 18.02.2012 г.р., дочь: Веронинка 03.08.2013 г.р.</t>
  </si>
  <si>
    <t>Воронежская, Русаново, Верхняя, 77</t>
  </si>
  <si>
    <t>8-999-693-25-28
8-905-288-59-48</t>
  </si>
  <si>
    <t>БЛА</t>
  </si>
  <si>
    <t>Командир роты (беспилотных летательных аппаратов)</t>
  </si>
  <si>
    <t>ЕЛИСОВ Кирилл Александрович</t>
  </si>
  <si>
    <t>г. Батайск Ростовская область</t>
  </si>
  <si>
    <t>Отец: Шапиро Александр Эдуардович 19.08.1962 г.р., Мать: Елисова Людмила Александровна 29.08.1962 г.р.</t>
  </si>
  <si>
    <t>Севастополь, Фиолентовское, 118-Б</t>
  </si>
  <si>
    <t>8-918-563-77-75</t>
  </si>
  <si>
    <t>Начальник 1 расчета (беспилотных летательных аппаратов "Орлан-10") роты  (беспилотных летательных аппаратов)</t>
  </si>
  <si>
    <t>ШАТКОВСКИЙ Антон Сергеевич</t>
  </si>
  <si>
    <t>гор. Капустин Яр-1 Астраханоской обл.</t>
  </si>
  <si>
    <t>отец: Шатковский Сергей Львович 1962 г.р.,
мать: Шатковская Людмила Владимировна 1961 г.р.</t>
  </si>
  <si>
    <t>Волгоградская, Волгоград, 51-й Гвардейской, 21</t>
  </si>
  <si>
    <t>8-961-082-05-58</t>
  </si>
  <si>
    <t>ВЫПУСКНИК ВУНЦ ВВС</t>
  </si>
  <si>
    <t>Начальник 2 расчета (беспилотных летательных аппаратов "Орлан-10") роты  (беспилотных летательных аппаратов)</t>
  </si>
  <si>
    <t>СМИРНОВ Иван Александрович</t>
  </si>
  <si>
    <t>Читинская область, Красночикойский район, с. Шимбилик</t>
  </si>
  <si>
    <t>бурят</t>
  </si>
  <si>
    <t>жена: Смирнова (Бузмакова) Анастасия Сергеевна, 4.03. 1999 г.р.
отец: Смирнов Александр Владимирович,
мать: Смирнова Елена Владимировна</t>
  </si>
  <si>
    <t>Новосибирская, Новосибирск, Иванова, 49</t>
  </si>
  <si>
    <t>8-923-140-48-06</t>
  </si>
  <si>
    <t>Начальник 3 расчета (беспилотных летательных аппаратов "Орлан-10") роты  (беспилотных летательных аппаратов)</t>
  </si>
  <si>
    <t>КУЗНЕЦОВ Владислав Юрьевич</t>
  </si>
  <si>
    <t>гор. Димитровград Ульяновской обл.</t>
  </si>
  <si>
    <t>отец: Кузнецов Юрий Юрьевич 12.09.1972 г.р.
мать: Терещенко (Соколова) Марина Геннадьевна 6.01.1972 г.р.</t>
  </si>
  <si>
    <t>8-999-451-10-02</t>
  </si>
  <si>
    <t>Командир взвода (беспилотных летательных аппаратов ближнего действия) роты  (беспилотных летательных аппаратов)</t>
  </si>
  <si>
    <t>ВАКАНТ ВрИД ст. пр-к АКИНЬШИН Михаил Федорович (ВЫПУСКНИК ВУНЦ ВВС)</t>
  </si>
  <si>
    <t>исб</t>
  </si>
  <si>
    <t>Командир инженерно-саперного батальона</t>
  </si>
  <si>
    <t>КЛЯУЗОВ Александр Владимирович</t>
  </si>
  <si>
    <t>г. Горький</t>
  </si>
  <si>
    <t>отец: Кляузов Владимир Иванович, мать: Кляузова (Лобанова) Лариса Анатоьевна, жена: Кляузова (Васильева) Светлана Владимировна 11.01.1989 г.р., сын: Алексей 22.08.2013 г.р., дочь: Екатерина 25.12.2016 г.р.</t>
  </si>
  <si>
    <t>Нижегородская, Нижний Новгород, Маршала Голованова, 13</t>
  </si>
  <si>
    <t>8-961-698-28-96
8-919-796-57-36</t>
  </si>
  <si>
    <t>Начальник штаба-заместитель командира инженерно-саперного батальона</t>
  </si>
  <si>
    <t>САПУНОВ Александр Сергеевич</t>
  </si>
  <si>
    <t>х. Ильмень-Суворовский Волгоградская область</t>
  </si>
  <si>
    <t>отец: Сапунов Сергей Павлович, мать: Сапунова Анна Владимировна, жена: Сапунова (Щербина) Валерия Михайловна 18.09.1989 г.р., сын: Максим 24.06.2013 г.р., дочь: Кира 24.02.2016 г.р.</t>
  </si>
  <si>
    <t>Волгоградская, Ильмень-Суворовский, Молодежная, 11</t>
  </si>
  <si>
    <t>8-937-567-78-00</t>
  </si>
  <si>
    <t>Заместитель командира батальона по военно-политической работе инженерно-саперного батальона</t>
  </si>
  <si>
    <t>ПОПОВ Виталий Николаевич</t>
  </si>
  <si>
    <t>г. Волгоград</t>
  </si>
  <si>
    <t>отец: Попов Николай Георгиевич, мать: Попова (Меркулова) Надежда Васильевна, жена: Попова (Якунина) Наталья Александровна, сын: Владислав 19.11.2008 г.р.</t>
  </si>
  <si>
    <t>8-905-434-40-29</t>
  </si>
  <si>
    <t>Заместитель командира батальона по вооружению инженерно-саперного батальона</t>
  </si>
  <si>
    <t>ЛАТЫПОВ Александр Анатольевич</t>
  </si>
  <si>
    <t>с. Калтасы Калтасинского района Республики Башкортостан</t>
  </si>
  <si>
    <t>удмурт</t>
  </si>
  <si>
    <t>отец: Латыпов Анатолий Гаянович, мать: Латыпова (Гильмиярова) Фаина Муллаяровна, жена: Латыпова Мария Алексеевна 06.03.1984 г.р., сын: Николай 08.05.2012 г.р.</t>
  </si>
  <si>
    <t>Северная Осетия, Владикавказ, Спутник, в/ч 20634</t>
  </si>
  <si>
    <t>8-918-544-27-60</t>
  </si>
  <si>
    <t>Командир инженерно-саперной роты инженерно-саперного батальона</t>
  </si>
  <si>
    <t>КОЛОСОВ Игорь Николаевич</t>
  </si>
  <si>
    <t>п. Коверино Коверинского р-на Нижегородской обл.</t>
  </si>
  <si>
    <t>Отец: Колосов Николай Владимирович 22.02.1973 г.р.
Мать: Колесник (Волошенюк) Оксана Валентиновна 16.12.1975 г.р.</t>
  </si>
  <si>
    <t>Нижегородская, Ковернино, Советская, 34</t>
  </si>
  <si>
    <t>8-992-304-83-49</t>
  </si>
  <si>
    <t>Командир 1 инженерно-саперного взвода инженерно-саперной роты инженерно-саперного батальона</t>
  </si>
  <si>
    <t>САМОДУРОВ Виктор Андреевич</t>
  </si>
  <si>
    <t>г. Тюмень</t>
  </si>
  <si>
    <t>Жена: Самодурова (Журавлёва) Татьяна Владимировна, 12.09.1994 г.р.
Отец: Самодуров Андрей Васильевич, 25.09.1975 г.р.
Мать: Самодурова (Яковлева) Людмила Сергеевна, 24.11.1975 г.р.</t>
  </si>
  <si>
    <t>Тюменская, Тюмень, Пермякова, 23</t>
  </si>
  <si>
    <t>8-904-752-85-65</t>
  </si>
  <si>
    <t>Командир инженерно-дорожного взвода инженерно-саперной роты инженерно-саперного батальона</t>
  </si>
  <si>
    <t>ВАКАНТ (ВЫПУСКНИК ДГУ июль)</t>
  </si>
  <si>
    <t>Командир инженерно-технического взвода инженерно-саперной роты инженерно-саперного батальона</t>
  </si>
  <si>
    <t>ШВЕЦОВ Максим Игоревич</t>
  </si>
  <si>
    <t>г. Остров Псковской области</t>
  </si>
  <si>
    <t xml:space="preserve">жена: Аберталина Елена Вячеславовна, 15.02.1989 г.р. отец: Швецов Игорь Алексеевич, мать: Швецова (Дроздецкая) Тамара Васильевна, </t>
  </si>
  <si>
    <t>Ростовская, Каменск-Шахтинский, Советская, 12</t>
  </si>
  <si>
    <t>8-929-887-07-46</t>
  </si>
  <si>
    <t>Командир понтонной роты инженерно-саперного батальона</t>
  </si>
  <si>
    <t>МАУРИН Павел Владимирович</t>
  </si>
  <si>
    <t>г. Северодвинск Архангельской области</t>
  </si>
  <si>
    <t>отец: Маурин Владимир Джанович, мать: Маурина (Петухова) Светлана Егоровна, жена: Маурина (Жук) Елизавета Игоревна 19.04.1996 г.р.</t>
  </si>
  <si>
    <t>Санкт-Петербург, Колпино, Понтонная, 9</t>
  </si>
  <si>
    <t>8-911-799-20-15</t>
  </si>
  <si>
    <t>Заместитель командира роты по военно-политической работе понтонной роты инженерно-саперного батальона</t>
  </si>
  <si>
    <t>ВАКАНТ (ВЫПУСКНИК ВУ МО РФ)</t>
  </si>
  <si>
    <t>Командир 1 понтонного взвода понтонной роты инженерно-саперного батальона</t>
  </si>
  <si>
    <t>СОРОКИН Алекс Вадимович</t>
  </si>
  <si>
    <t>с. Бастово Ленинского района Еврейской автономной области</t>
  </si>
  <si>
    <t>отец: Сорокин Вадим Геннадьевич,
мать: Сорокина Людмила Владимировна,
жена: Кучерук Оксана Юрьевна, 27.05.1999 г.р.</t>
  </si>
  <si>
    <t>Сахалинская, Горячие Ключи, Горячие ключи, 9</t>
  </si>
  <si>
    <t>ВЫПУСКНИК ТВИКУ</t>
  </si>
  <si>
    <t>Командир 2 понтонного взвода понтонной роты инженерно-саперного батальона</t>
  </si>
  <si>
    <t>ВАЛИУЛЛИН Юрий Эдуардович</t>
  </si>
  <si>
    <t>п. Натальинск Красноуфимского райлона, Свердловской области</t>
  </si>
  <si>
    <t>отец: Валиуллин Эдуард Разаевич, мать: Валиуллина (Габтрахмановна) Римма Мавлявиевна</t>
  </si>
  <si>
    <t>Свердловская, Натальинск, Новая, 8</t>
  </si>
  <si>
    <t>8-999-548-86-28</t>
  </si>
  <si>
    <t>рхбз</t>
  </si>
  <si>
    <t>Командир роты радиационной, химической и биологической защиты</t>
  </si>
  <si>
    <t>КРЕЧЕТОВ Алексей Александрович</t>
  </si>
  <si>
    <t>с. Билярск Алексеевского района Республики Татарстан</t>
  </si>
  <si>
    <t>жена: Кречетова (Захарова) Елизавета Вадимовна, 13.10.1998 г.р., отец: Кречетов Александр Николаевич, 24.12.1974 г.р., мать: Кречетова (Ксенофонтова) Ольга Валерьевна, 05.12.1969 г.р.</t>
  </si>
  <si>
    <t>Татарстан, Билярск, Гагарина, 32</t>
  </si>
  <si>
    <t>8-999-511-61-86</t>
  </si>
  <si>
    <t>Командир взвода радиационной, химической и биологической разведки роты радиационной, химической и биологической защиты</t>
  </si>
  <si>
    <t xml:space="preserve">Командир взвода специальной обработки роты радиационной, химической и биологической защиты </t>
  </si>
  <si>
    <t xml:space="preserve">Командир взвода аэрозольного противодействия роты радиационной, химической и биологической защиты </t>
  </si>
  <si>
    <t>Командир огнеметного взвода роты радиационной, химической и биологической защиты</t>
  </si>
  <si>
    <t>ПАЛКИН Иван Алексеевич</t>
  </si>
  <si>
    <t>пос. Кез Кезского р-на Удмуртской Республики</t>
  </si>
  <si>
    <t>жена: Палкина (Чуракова) Татьяна Анатольевна, 02.11.1997 г.р., отец: Палкин Алксей Николаевич, 24.01.1964 г.р., мать: Палкина (Небогатикова) Екатерина Михайловна, 22.01.1963 г.р.</t>
  </si>
  <si>
    <t>Удмуртская, Кез, Кулигинская, 1</t>
  </si>
  <si>
    <t>8-912-017-62-20</t>
  </si>
  <si>
    <t>рэб</t>
  </si>
  <si>
    <t>Командир роты радиоэлектронной борьбы</t>
  </si>
  <si>
    <t>БОЯНОВ Сергей Викторович</t>
  </si>
  <si>
    <t>с. Вольное Джанкойского р-на Крымской обл. Республики Украина</t>
  </si>
  <si>
    <t>отец: Боянов Виктор Иванович, 17.05.1953 г.р.
мать: Боянова (Чемерисова) Зинаида Васильевна, 06.11.1952 г.р.
жена: Боянова (Лихачева) Ольга Сергеевна 28.06.1990 г.р.</t>
  </si>
  <si>
    <t>Воронежская, Воронеж, 9 Января, 292</t>
  </si>
  <si>
    <t>8-906-419-42-90</t>
  </si>
  <si>
    <t>Заместитель командира роты по военно-политической работе роты радиоэлектронной борьбы</t>
  </si>
  <si>
    <t>ПЛАТОНОВА Александра Ярославовна</t>
  </si>
  <si>
    <t>г. Санкт-Петербур</t>
  </si>
  <si>
    <t>замужем</t>
  </si>
  <si>
    <t>муж: Платонов Никита Александрович, 12.10.1998 г.р. мать: Шайхуллина Наталья Николаевна</t>
  </si>
  <si>
    <t>8-910-864-68-39</t>
  </si>
  <si>
    <t>Командир взвода радиопомех (КВ радиосвязи) роты радиоэлектронной борьбы</t>
  </si>
  <si>
    <t>АПУХТИН Руслан Витальевич</t>
  </si>
  <si>
    <t>Командир 1 взвода радиопомех (УКВ радиосвязи) роты радиоэлектронной борьбы</t>
  </si>
  <si>
    <t>ПАРАМОНОВ Егор Владимирович</t>
  </si>
  <si>
    <t>гор. Волгоград</t>
  </si>
  <si>
    <t>жена: Парамонова (Баранова) Ольга Александровна, 28.07.1999 г.р.
Отец: Парамонов Владимир Александрович, 28.08.1970 г.р.
Мать: Парамонова (Черкасс) Екатерина Сергеевна, 05.02.1971 г.р.</t>
  </si>
  <si>
    <t>Краснодарский, Горячий Ключ, Объездная, 2А</t>
  </si>
  <si>
    <t>8-919-236-02-95</t>
  </si>
  <si>
    <t>Командир 2 взвода радиопомех (УКВ радиосвязи) роты радиоэлектронной борьбы</t>
  </si>
  <si>
    <t>СТОЛЯРОВ Степан Константинович</t>
  </si>
  <si>
    <t>п. Каменка Каменского района Воронежской области</t>
  </si>
  <si>
    <t>отец: Столяров Константин Леонидович, мать: Столярова (Сыроватская) Наталья Владимировна</t>
  </si>
  <si>
    <t>Воронежская, Каменка, Пролетарская, 63</t>
  </si>
  <si>
    <t>8-929-006-82-79</t>
  </si>
  <si>
    <t>Командир взвода радиопомех  (УКВ радиосвязи авиации) роты радиоэлектронной борьбы</t>
  </si>
  <si>
    <t>ДЕНЕГИН Павел Павлович</t>
  </si>
  <si>
    <t>с. Садовое Сарпинского района Калмыцкой ССР</t>
  </si>
  <si>
    <t>отец: Денегин .павел Иванович 11.01.1966 г.р.</t>
  </si>
  <si>
    <t>Белгородская, Мухоудеровка, Молодежный, 15</t>
  </si>
  <si>
    <t>8-966-789-94-32</t>
  </si>
  <si>
    <t>Командир взвода радиопомех (радиосвязи, спутниковым системам связи, сотовой связи, наземным потребителям КРНС НАВСТАР, СПР, ЗПП, и АЗПП) роты радиоэлектронной борьбы</t>
  </si>
  <si>
    <t xml:space="preserve">ст. прапорщик </t>
  </si>
  <si>
    <t>АНТОНОВ Сергей Георгиевич</t>
  </si>
  <si>
    <t>с. Рудники Бижбулякского р-на Р. Башкортостан</t>
  </si>
  <si>
    <t>чуваш</t>
  </si>
  <si>
    <t>жена: Антонова Ирина Юрьевна 17.01.1977 г.р.,
сын: Владислав 25.07.2003 г.р.,
дочь: Анна 03.09.2011 г.р.</t>
  </si>
  <si>
    <t>8-960-889-71-55</t>
  </si>
  <si>
    <t xml:space="preserve">Командир взвода радиопомех (радиосвязи и радиолиниям управления подрывом фугасов) роты радиоэлектронной борьбы </t>
  </si>
  <si>
    <t>ЕГОРОВ Валерий Эдуардович</t>
  </si>
  <si>
    <t>с. Янгличи Канашского р-на Чувашской Республики</t>
  </si>
  <si>
    <t>Отец: Егоров Эдуард Николаевич, 31.01.1975 г.р.
Мать: Егорова (Никонова) Любовь Михайловна, 03.09.1974 г.р.</t>
  </si>
  <si>
    <t>Чувашия, Канаш, Машиностроителей, 39</t>
  </si>
  <si>
    <t>8-911-503-90-09</t>
  </si>
  <si>
    <t xml:space="preserve">Командир взвода управления роты радиоэлектронной борьбы </t>
  </si>
  <si>
    <t>ВАСИЛЕНКО Николай Сергеевич</t>
  </si>
  <si>
    <t>гор. Воронеж</t>
  </si>
  <si>
    <t>Отец: Василенко Сергей Владимирович, 15.08.1971 г.р.
Мать: Василенко (Логачева) Наталья Викторовна, 22.08.1974 г.р.</t>
  </si>
  <si>
    <t>г. Воронеж, пер. Ольховый, д. 9Б, кв. 40</t>
  </si>
  <si>
    <t>8-980-344-14-72</t>
  </si>
  <si>
    <t>ВУиРР</t>
  </si>
  <si>
    <t xml:space="preserve">Командир взвода-начальник станции взвода управления и радиолокационной разведки (начальника противовоздушной обороны) </t>
  </si>
  <si>
    <t>прапорщик</t>
  </si>
  <si>
    <t>ЧЕРКАСОВ Артур Эрнестович</t>
  </si>
  <si>
    <t>р.пос. Средняя Ахтаба Среднеахтубинского р-на Волгоградской обл.</t>
  </si>
  <si>
    <t>Жена: Черкасова Татьяна Германовна, 30.09.1991 г.р.
Сын: Черкасов Марк Артурович, 22.03.2018 г.р.
Мать: Черкасова Ольга Викторовна, 07.06.1973 г.р.</t>
  </si>
  <si>
    <t>Волгоградская обл., Средняя Ахтуба, Октябрьская, 95</t>
  </si>
  <si>
    <t>8-905-335-36-18</t>
  </si>
  <si>
    <t>БМО</t>
  </si>
  <si>
    <t>Командир батальона материального обеспечения</t>
  </si>
  <si>
    <t>ЧЕРЕПАНОВ Андрей Александрович</t>
  </si>
  <si>
    <t>х. Ильмень-Суворовский Октябрьского района Волгоградской области</t>
  </si>
  <si>
    <t>Отец: Черепанов Александр Леонидович 17.09.1958 г.р., Мать: Черепанова (Земцова) Зинаида Васильевна 08.09.1958 г.р., жена: Черепанова (Кравчук) Оксана Дмитриевна 16.03.1987 г.р., сын: Максим 27.03.2014 г.р., сын: Артем 21.02.2017 г.р.</t>
  </si>
  <si>
    <t>Волгоградская, Волгоград, 39 Гвардейской, 22</t>
  </si>
  <si>
    <t>8-937-696-41-00
8-927-534-35-41</t>
  </si>
  <si>
    <t>Заместитель командира батальона по военно-политической работе батальона материального обпеспечения</t>
  </si>
  <si>
    <t>СУРХАЕВ Темирлан Абдулкеримович</t>
  </si>
  <si>
    <t>г. Буйнакск Республики Дагестан</t>
  </si>
  <si>
    <t>кумык</t>
  </si>
  <si>
    <t>сын: Сурхаев Абдулкерим Абдулабекович, мать: Сурхаева Умухасюм Гамидовна, дочь: Эльмира 08.03.2008 г.р.</t>
  </si>
  <si>
    <t>8-917-643-28-18</t>
  </si>
  <si>
    <t xml:space="preserve">Заместитель командира батальона по вооружению батальона материального обеспечения </t>
  </si>
  <si>
    <t>ПИНИКИНШТЕЙН Степан Яковлевич</t>
  </si>
  <si>
    <t>г. Татарск Новосибирской области</t>
  </si>
  <si>
    <t>отец: Пиникинштейн Яков Богданович, мать: Пиникинштейн (Анокина) Галина Степановна, жена: Пиникинштейн (Чесова) Ольга Андреевна 08.07.1987 г.р., сын: Матвей 06.02.2017 г.р.</t>
  </si>
  <si>
    <t>8-988-964-66-72</t>
  </si>
  <si>
    <t>Начальник штаба-заместитель командира батальона материального обеспечения</t>
  </si>
  <si>
    <t>БОСЫХ Роман Юрьевич</t>
  </si>
  <si>
    <t>г. Муром Владимирской области</t>
  </si>
  <si>
    <t>отец: Босых Юрий Геннадьевич 21.09.1960 г.р., мать: Босых (Панина) Наталья Владимировна 24.10.1962 г.р., жена: Босых (Вострикова) Татьяна Владимировна 09.03.1991 г.р.</t>
  </si>
  <si>
    <t>Владимирская, Муром, Октябрьская, 9</t>
  </si>
  <si>
    <t>8-988-497-10-77
8-937-728-98-94</t>
  </si>
  <si>
    <t>Командир автомобильной роты (подвоза боеприпасов) батальона материального обеспечения</t>
  </si>
  <si>
    <t>ДМИТРИЕВ Сергей Владимирович</t>
  </si>
  <si>
    <t>р.п. Ерзовка Городищенского р-на Волгоградской области</t>
  </si>
  <si>
    <t>отец: Дмитриев Владимир Александрович, мать: Дмитриева Ольга Владимировна, жена: Дмитриева (Ляшенко) Екатерина Валерьевна 17.12.1992 г.р., дочь: Марина 22.12.2014 г.р.</t>
  </si>
  <si>
    <t>Волгоградская, Ерзовка, Комсомольская, 25/2</t>
  </si>
  <si>
    <t>8-903-467-59-77</t>
  </si>
  <si>
    <t>Командир автомобильной роты (подвоза горючего) батальона материального обеспечения</t>
  </si>
  <si>
    <t>БАСАЛКО Роман Константинович</t>
  </si>
  <si>
    <t>отец: Басалко Константин Борисович, мать: Басалко (Винокурова) Светлана Ивановна, жена: Басалко (Мухаметрахимовна) Лариса Ислимовна 03.08.1987 г.р.</t>
  </si>
  <si>
    <t>Краснодарский, Краснодар, 70 лет Октября, 32</t>
  </si>
  <si>
    <t>8-918-969-35-08</t>
  </si>
  <si>
    <t>Командир роты автомобильной роты (подвоза продовольствия, ввоенно-технического имущества) батальона материального обеспечения</t>
  </si>
  <si>
    <t>КУЗЬКО Денис Андреевич</t>
  </si>
  <si>
    <t>г. Ростов-на Дону</t>
  </si>
  <si>
    <t>отец: Кузько Андрей Анатольевич, мать: Кузько Наталья Юрьевна</t>
  </si>
  <si>
    <t>Волгоградская, Волгоград, Университетский, 19</t>
  </si>
  <si>
    <t>8-919-792-98-74</t>
  </si>
  <si>
    <t>Командир роты обеспечения батальона материального обеспечения</t>
  </si>
  <si>
    <t>ВЕЛИКДАНЬ Дмитрий Юрьевич</t>
  </si>
  <si>
    <t>г. Ставрополь, Ставропольский край</t>
  </si>
  <si>
    <t>отец: Великдань Юрий Николаевич, мать: Великдань Ольга Викторовна, жена: Великдань Альбина Игоревна 08.09.1994 г.р.</t>
  </si>
  <si>
    <t>Ставропольский, Кевсала, Газгородок, 3</t>
  </si>
  <si>
    <t>8-937-565-91-27</t>
  </si>
  <si>
    <t xml:space="preserve">Заместитель командира роты по военно-политической работе роты обеспечения батальона материального обеспечения </t>
  </si>
  <si>
    <t>НАГУМАНОВ Дмитрий Валерьевич</t>
  </si>
  <si>
    <t>пос. Хоперский Новониколаевского р-на Волгоградской обл.</t>
  </si>
  <si>
    <t>казах</t>
  </si>
  <si>
    <t>отец: Нагуманов Валерий Юрьевич, 31.08.1965 г.р.
Мать: Нагуманова Людмила Карипулова, 08.02.1966 г.р.</t>
  </si>
  <si>
    <t>Волгоградская, Хоперский, Советская, 14</t>
  </si>
  <si>
    <t>8-987-657-74-57</t>
  </si>
  <si>
    <t>Начальник связи-командир взвода управления батальона материального обеспечения</t>
  </si>
  <si>
    <t>СИТЮКОВА Евгения Викторовна</t>
  </si>
  <si>
    <t>г. Каменск-Шахтинский Ростовской области</t>
  </si>
  <si>
    <t>отец: Витченко Виктор Васильевич 08.02.1956 г.р., мать: Витченко (Беденко) Галина Васильевна, муж: Ситюков Владимир Сергеевич 04.11.1988 г.р., сын: Святослав 25.05.2016 г.р.</t>
  </si>
  <si>
    <t>8-919-988-16-83</t>
  </si>
  <si>
    <t>мотострелковые</t>
  </si>
  <si>
    <t>КР</t>
  </si>
  <si>
    <t>Командир комендантской роты</t>
  </si>
  <si>
    <t>КАРАПЕТЯН Армен Армикович</t>
  </si>
  <si>
    <t>с. Чамдура Ахалкалаксого района Грузии</t>
  </si>
  <si>
    <t>армянин</t>
  </si>
  <si>
    <t>отец: Карапетян Армик Ватаршакович, мать: Карапетян Соня Мкртычевна, жена: Габриелян Маник Гришаевна 03.12.1983 г.р., сын: Вагинак 17.01.2007 г.р.</t>
  </si>
  <si>
    <t>8-919-792-22-20</t>
  </si>
  <si>
    <t>РПК</t>
  </si>
  <si>
    <t>Командир роты почетного караула</t>
  </si>
  <si>
    <t>ДАНИЛОВ Игорь Анатольевич</t>
  </si>
  <si>
    <t>ст. Вольно-Донская Морозовского р-на Ростовской области</t>
  </si>
  <si>
    <t>Мать: Данилова Валентина Алексеевна 05.01.1952 г.р., Отец: Данилов Анатолий Николаевич 11.08.1952 г.р., Жена: Данилова (Бойко) Елена Викторовна 05.01.1974 г.р., дочь: Ольга 23.08.1995 г.р., дочь: Олеся 24.06.2001 г.р., сын: Егор 06.03.2011 г.р., сын: Максим 22.04.2016 г.р.</t>
  </si>
  <si>
    <t>Волгоградская, Волгоград, ул. 8-й воздушной армии, д. 54, кв. 97</t>
  </si>
  <si>
    <t>8-903-316-69-92</t>
  </si>
  <si>
    <t>Заместитель командира роты по военно-политической работе роты почетного караула</t>
  </si>
  <si>
    <t>ЛАЗАРЕВ Григорий Витальевич</t>
  </si>
  <si>
    <t>Мать: Терина Анжелика Владимировна 1968 г., Сын: Иван 29.03.2014 г.р., Дочь: Алиса, 26.08.2020 г.р. Отец: Терин Александр Евгеньевич, 21.09.1963 г.р., Жена: Лазарева Ольга Андреевна 1987 г.р.</t>
  </si>
  <si>
    <t>Волгоградская, Волгоград, 30-летия Победы, 16</t>
  </si>
  <si>
    <t>8-917-723-84-22</t>
  </si>
  <si>
    <t>Командир 1 стрелкового взвода (почетного караула) роты почетного караула</t>
  </si>
  <si>
    <t>СТАХЕЕВ Илья Андреевич</t>
  </si>
  <si>
    <t>Новокузнецк Кемеровской области</t>
  </si>
  <si>
    <t>жена: Стахеева Ксения Витальевна 30.07.1997 
отец: Стахеев Андрей Борисович
мать: Стахеева Маргарита Анатольевна</t>
  </si>
  <si>
    <t>8-913-767-54-64</t>
  </si>
  <si>
    <t>Командир 2 стрелкового взвода (почетного караула) роты почетного караула</t>
  </si>
  <si>
    <t xml:space="preserve">ВЕЛИГОН Александр Андреевич </t>
  </si>
  <si>
    <t>Челябинская обл., г. Магнитогорск</t>
  </si>
  <si>
    <t>Мать: Велигон Наталья Николаевна, 29.06.1977 г.р.
Отец: Велигон Андрей Анатольевич, 14.04.1974 г.р.</t>
  </si>
  <si>
    <t>Челябинская, Магнитогорск, 50-летия Магнитки, 39</t>
  </si>
  <si>
    <t>8-999-450-65-17</t>
  </si>
  <si>
    <t>Командир 3 стрелкового взвода (почетного караула) роты почетного караула</t>
  </si>
  <si>
    <t>ЧЕКУНОВ Ярослав Владимирович</t>
  </si>
  <si>
    <t>мать: Чекунова Татьяна Владиславовна, отец: Чекунов Владимир Ильич</t>
  </si>
  <si>
    <t>Волгоградская, Волгоград, Саши Чекалина, 27</t>
  </si>
  <si>
    <t>8-937-081-43-22</t>
  </si>
  <si>
    <t>255 МСП</t>
  </si>
  <si>
    <t>Командир полка</t>
  </si>
  <si>
    <t>ГУРЬЕВ Дмитрий Александрович</t>
  </si>
  <si>
    <t>с. Николаевка Партизанский р-н Приморский край</t>
  </si>
  <si>
    <t>жена: Гурьева (Волохина) Евгения Владимировна, 09.10.1980 г.р.
сын: Гурьев Александр Дмитриевич, 08.12.2002 г.р.
дочь: Гурьева Татьяна Дмитриевна, 06.08.2008 г.р.
сын: Гурьев Андрей Дмитриевич, 25.01.2013 г.р.
отец: Гурьев Александр Николаевич, погиб 23.10.1996 г.
мать: Гурьева (Белых) Наталья Михайловна, 09.95.1958 г.р.</t>
  </si>
  <si>
    <t>Северная Осетия, Владикавказ, п. Спутник, в/ч 20634</t>
  </si>
  <si>
    <t>8-966-372-44-26</t>
  </si>
  <si>
    <t>Заместитель командира полка</t>
  </si>
  <si>
    <t>ВОРОНИН Олег Борисович</t>
  </si>
  <si>
    <t>Заместитель командира полка по военно-политической работе-начальник военно-политического отделения</t>
  </si>
  <si>
    <t>ШУЛЬЖЕНКО Михаил Юрьевич</t>
  </si>
  <si>
    <t>с. Верхний мамон Верхнемамоновского р-на Воронежской обл.</t>
  </si>
  <si>
    <t>отец: Шульженко Юрий Иванович, 08.06.1968 г.р.
Мать: Махканова (Грищёва, Шульженко) Нэля Анатольевна, 06.07.1973 г.р.</t>
  </si>
  <si>
    <t>Воронежская, Верхний Мамон, Набережная, 7</t>
  </si>
  <si>
    <t>8-995-595-38-81</t>
  </si>
  <si>
    <t>Старший офицер полка</t>
  </si>
  <si>
    <t>Начальник штаба-заместитель командира полка</t>
  </si>
  <si>
    <t>ХАБИБУЛЛИН Т.М</t>
  </si>
  <si>
    <t>Заместитель начальника штаб</t>
  </si>
  <si>
    <t>Заместитель начальника штаба по службе войск и безопасности военной службы штаба</t>
  </si>
  <si>
    <t>ЗАГОРУЛЬКО Александр Анатольевич</t>
  </si>
  <si>
    <t>с. Раздольное Тамбовского района Амурской области</t>
  </si>
  <si>
    <t>мать: Загорулько (Карпунина) Татьяна Анатольевна 1974 г.р., отец: Загорулько Анатолий Иванович, 1971 г.р., жена: Загорулько (Сутягина) Евгения Александровна 11.08.1988 г.р.</t>
  </si>
  <si>
    <t>Амурская, Раздольное, Юбилейная, 1</t>
  </si>
  <si>
    <t>8-937-707-69-79</t>
  </si>
  <si>
    <t>Заместитель начальника штаба по разведке-начальник разведки штаба</t>
  </si>
  <si>
    <t>ШАБИС А.Ю.</t>
  </si>
  <si>
    <t>Помощник начальника разведки штаба</t>
  </si>
  <si>
    <t>ПАТЛАТЫЙ Илья Владимирович</t>
  </si>
  <si>
    <t>г. Потсдам Германия</t>
  </si>
  <si>
    <t>жена: Патлатая (Темникова) Анастасия Николаевна, 25.02.1995 г.р. 
Дочь: Патлатая Полина Ильинична, 01.08.2019 г.р.
отец: Потлатый Владимир Анатольевич, 17.01.1969 г.р. 
мать: Патлатая (Саранчева) Марина Николаевна, 07.03.1969 г.р.</t>
  </si>
  <si>
    <t>8-987-657-14-33</t>
  </si>
  <si>
    <t>Заместитель начальника штаба по связи-начальник связи штаба</t>
  </si>
  <si>
    <t>ТЮЖИН А.В.</t>
  </si>
  <si>
    <t>Помощник начальника связи штаба</t>
  </si>
  <si>
    <t xml:space="preserve">лейтенант </t>
  </si>
  <si>
    <t>ИВАНОВА Полина Витальевна</t>
  </si>
  <si>
    <t>гор. Экибастуз Павлодарской обл. Республики Казахстан</t>
  </si>
  <si>
    <t>муж: Иванов Денис Александрович, 23.12.199 г.р.
отец: Чекалкин Виталий Сергеевич,
мать: Чекалкина Эльвира Филипповна, 20.06.1976 г.р.</t>
  </si>
  <si>
    <t>Тюменская, Тюмень, Школьная, 131</t>
  </si>
  <si>
    <t>8-921-573-06-90</t>
  </si>
  <si>
    <t>Старший помощник начальника штаба</t>
  </si>
  <si>
    <t>ХОМУТИННИКОВ Иван Константинович</t>
  </si>
  <si>
    <t>р.п. Приморск Быковского района Волгоградской области</t>
  </si>
  <si>
    <t>жена: Хомутинникова (Рябенко) Ирина Вячеславовна, 08.02.1989 г.р.
Дочь: Хомутинникова Полина Ивановна, 18.03.2015 г.р.
Отец: Хомутинников Константин Дмитриевич, 11.04.1963 г.р.
Мать: Хомутинникова (Дудина) Наталья Алексеевна, 17.07.1967 г.р. (умерла в 2015 г.).</t>
  </si>
  <si>
    <t>г. Волгоград, ул. Советская, д. 4, кв. 15</t>
  </si>
  <si>
    <t>8-917-306-85-66</t>
  </si>
  <si>
    <t>ЮРЬЕВ Д.О.</t>
  </si>
  <si>
    <t>Офицер (по обеспечению безопасности информации)</t>
  </si>
  <si>
    <t>ПОЙЛОВ Константин Игоревич</t>
  </si>
  <si>
    <t>г. Таганрог Ростовской области</t>
  </si>
  <si>
    <t>мать: Пойлова (Трифонова) Анжелика Сергеевна 1968 г.р., жена: Пойлова (Воронова) Ксения Андреевна 19.09.1990 г.р., сын: Мирон 15.05.2016 г.р.</t>
  </si>
  <si>
    <t>Ростовская, Таганрог, Пархоменко, 3</t>
  </si>
  <si>
    <t>8-919-541-73-17</t>
  </si>
  <si>
    <t xml:space="preserve">Начальник группы (начальник психологической службы) группы психологической работы </t>
  </si>
  <si>
    <t>АГАЕВ Дмитрий Владимирович</t>
  </si>
  <si>
    <t>г. Харабали Астраханской области</t>
  </si>
  <si>
    <t>мать: Агаева (Павлова) Галина Дмитриевна 1953 г.р., отец: Агаев Владимир Юрьевич 1965 г.р., жена: Агаева (Куркина) Варвара Николаевна 27.12.1992 г.р.</t>
  </si>
  <si>
    <t>Астраханская, Ашулук, 38</t>
  </si>
  <si>
    <t>8-917-726-85-65</t>
  </si>
  <si>
    <t>Начальник артиллерии</t>
  </si>
  <si>
    <t>КОЗЛОВ Сергей Александрович</t>
  </si>
  <si>
    <t>г. Североморск Мурманской области</t>
  </si>
  <si>
    <t>отец: Козлов Александр Михайлович, мать: Козлова Валентина Васильевна, жена: Козлова (Сентюрина) Алла Александровна 1983 г.р., дочь: Александра 16.08.2018 г.р.</t>
  </si>
  <si>
    <t>Волгоградская, Волгоград, Новоузенская, 4а</t>
  </si>
  <si>
    <t>8-937-696-25-57</t>
  </si>
  <si>
    <t>Помощник начальника артиллерии</t>
  </si>
  <si>
    <t xml:space="preserve">ДАНИЛОВ Антон Андреевич </t>
  </si>
  <si>
    <t>Свердловская обл. г. Невьянск</t>
  </si>
  <si>
    <t>Жена: Данилова (Чебакова) Виктория Сергеевна, 16.11.1995 г.р.
Отец: Данилов Андрей Анатольевич, 11.03.1968 г.р.
Мать: Данилова (Налобина) Наталья Николаевна, 16.08.1969 г.р.
Сын: Кирилл, 14.02.2016 г.р.</t>
  </si>
  <si>
    <t>Свердловская, Невьянск, Кирова, 66</t>
  </si>
  <si>
    <t>8-999-246-91-10</t>
  </si>
  <si>
    <t>Начальник противовоздушной обороны</t>
  </si>
  <si>
    <t>КАМИЛОВ Вадим Вячеславович</t>
  </si>
  <si>
    <t>к/с им. Маткабулова Орджоникидзевского р-на Р. Узбекистан</t>
  </si>
  <si>
    <t>руский</t>
  </si>
  <si>
    <t xml:space="preserve">жена: Камилова (Дьяченко) Ирина Сергеевна, 05.12.1984 г.р.
Мать: Камилова (Чеснокова) Ирина Михайловна </t>
  </si>
  <si>
    <t>8-938-524-45-29</t>
  </si>
  <si>
    <t>КОНДРАТЬЕВ Илья Александрович</t>
  </si>
  <si>
    <t>с. Шелокша Кстовского района Горьковской области</t>
  </si>
  <si>
    <t>отец: Кондратьев Александр Васильевич, мать: Кондратьева (Спорыгина) Наталья Николаевна, жена: Кондратьева (Фадеева) Алена Николаевна 17.01.1996 г.р.</t>
  </si>
  <si>
    <t>Нижегородская, Шелокша, Центральная, 20</t>
  </si>
  <si>
    <t>8-909-387-83-67
8-937-547-16-92</t>
  </si>
  <si>
    <t>ОБЛЯКОВ Алексей Алексеевич</t>
  </si>
  <si>
    <t>г. Фролово, Волгоградской области</t>
  </si>
  <si>
    <t>жена: Облякова (Ривенко) Ольга Николаевна, 03.07.1990 г.р.
Сын: Семен 11.02.2014 г.р.
Сын: Сергей, 18.05.2018 г.р.
Отец: Обляков Алексей Юрьевич, 31.08.1968 г.р.
Мать: Облякова (Гайдамакина) Виктория Владимировна, 08.11.1970 г.р.</t>
  </si>
  <si>
    <t>Волгоградская, Фролово, Народная, 1</t>
  </si>
  <si>
    <t>8-905-396-09-85</t>
  </si>
  <si>
    <t>капитан м/с</t>
  </si>
  <si>
    <t>МОТРЕННИКОВ Виталий Сергеевич</t>
  </si>
  <si>
    <t>Заместитель командира полка по вооружению - начальник технической части</t>
  </si>
  <si>
    <t>УДАЛОВ Р.В.</t>
  </si>
  <si>
    <t>СОЛДАТОВ А.А.</t>
  </si>
  <si>
    <t>МИХАЙЛОВ Андрей Юрьевич</t>
  </si>
  <si>
    <t>г. Казань Республика Татарстан</t>
  </si>
  <si>
    <t>отец: Михайлов Юрий Григорьевич, мать: Михайлова Луиза Валентиновна, жена: Михайлова Оксана Валерьевна 07.07.2008 г.р., дочь: Валерия 28.11.2001 г.р., сын: Кирилл 03.05.2012 г.р.</t>
  </si>
  <si>
    <t>8-917-831-61-92</t>
  </si>
  <si>
    <t>ВЕСЕЛОВ Руслан Халилович</t>
  </si>
  <si>
    <t>Опекун (бабушка) Веселова Татьяна Анатольевна, жена: Веселова (Михурова) Юлия Андреевна 07.06.1996 г.р.</t>
  </si>
  <si>
    <t>Волгоградская, Волжский, Оломоуцкая, 45</t>
  </si>
  <si>
    <t>8-999-874-75-20</t>
  </si>
  <si>
    <t>Заместитель командира полка по тылу - начальник тыла</t>
  </si>
  <si>
    <t>ЕВДОКИМОВ Н.О.</t>
  </si>
  <si>
    <t>КАЙМАЧНИКОВ Р.О.</t>
  </si>
  <si>
    <t>ЛОКТИОНОВ Д.С.</t>
  </si>
  <si>
    <t>1 мсб</t>
  </si>
  <si>
    <t>Командир 1 мотострелкового батальона</t>
  </si>
  <si>
    <t>КОЛОМАЗОВ Сергей Вячеславович</t>
  </si>
  <si>
    <t>с. Большое Болдино Горьковской области</t>
  </si>
  <si>
    <t>отец: Коломазов Вячеслав Юрьевич, мать: Коломазова (Курникова) Александра Алексеевна, жена: Коломазова (Фринц) Ксения Викторовна 05.12.1989 г.р., дочь: Маргарита 13.09.2010 г.р.</t>
  </si>
  <si>
    <t>Волгоградская, Волгоград, Шекснинская, 8А</t>
  </si>
  <si>
    <t>8-913-752-75-72
8-987-641-46-67</t>
  </si>
  <si>
    <t>Заместитель командира 1 мотострелкового батальона</t>
  </si>
  <si>
    <t>ТЕРЕХОВ Сергей Викторович</t>
  </si>
  <si>
    <t>с. Угревище Комаричского района Брянской области</t>
  </si>
  <si>
    <t>отец: Терехов Владимир Петрович, мать: Терехова Любовь Алексеевна</t>
  </si>
  <si>
    <t>Брянская, Угревище, Колхозный, 4</t>
  </si>
  <si>
    <t>8-937-696-29-26</t>
  </si>
  <si>
    <t>Заместитель командира батальона по военно-политической работе 1 мотострелкового батальона</t>
  </si>
  <si>
    <t>ТРУХАЧЕВ Виталий Александрович</t>
  </si>
  <si>
    <t>г. Худжанд Ленинабадской области Такжикской ССР</t>
  </si>
  <si>
    <t>отец: Трухачев Александр Сергеевич, мать: Трухачева (Даренская) Ольга Камиловна, жена: Трухачева (Терновая) Анна Сергеевна 29.09.1991 г.р., сын: Данил 11.08.2012 г.р., сын: Ростислав 16.08.2015 г.р.</t>
  </si>
  <si>
    <t>Ростовская, Персиановский, Кадамовская, 3</t>
  </si>
  <si>
    <t>8-989-853-05-09</t>
  </si>
  <si>
    <t xml:space="preserve">Заместитель командира батальона по вооружению 1 мотострелкового батальона </t>
  </si>
  <si>
    <t>ЗИБОРОВ Владимир Сергеевич</t>
  </si>
  <si>
    <t>Липецкая обл. Измалковский р-н с. Быково</t>
  </si>
  <si>
    <t>отец: Зиборов Сергей Михайлович, мать: Зиборова Татьяна Витальевга, жена: Зиборова (Матвеенкова) Татьяна Николаевна 08.05.1991 г.</t>
  </si>
  <si>
    <t>Липецкая, Быково, Молодежная, 5</t>
  </si>
  <si>
    <t>8-902-653-21-46</t>
  </si>
  <si>
    <t>Начальник штаба-заместитель командира 1 мотострелкового батальона</t>
  </si>
  <si>
    <t>БЕРДИМУРАДОВ Александр Евгеньевич</t>
  </si>
  <si>
    <t xml:space="preserve">г. Борислав </t>
  </si>
  <si>
    <t>отец: Бердимурадов Евгений Аманович, мать: Бердимурадова (Ефимова) Татьяна Павловна, жена: Бердимурадова (Алимова) Любовь Валентиновна 28.08.1981 г.р., сын: Тимур 21.07.2016 г.р.</t>
  </si>
  <si>
    <t>Волгоградская, Волгоград, Дзержинский, Новодвинская, 36</t>
  </si>
  <si>
    <t>8-937-720-16-66</t>
  </si>
  <si>
    <t>Заместитель начальника штаба 1 мотострелкового батальона</t>
  </si>
  <si>
    <t>МОРОЗОВ Вячеслав Павлович</t>
  </si>
  <si>
    <t>с. Амо Новоаннинского района Волгоградской области</t>
  </si>
  <si>
    <t>отец: Морозов Павел Александрович, мать: Морозова Ольга Вячеславовна, жена: Морозова (Самохвалова) Елена Николаевна 26.07.1989 г.р., сын: Дмитрий 28.10.2014 г.р., дочь: Анна, 12.12.2017 г.р.</t>
  </si>
  <si>
    <t>Волгоградская, Новоаннинский, Кирпичная, 15</t>
  </si>
  <si>
    <t>8-905-333-20-35</t>
  </si>
  <si>
    <t>Командир 1 мотострелковой роты 1 мотострелкового батальона</t>
  </si>
  <si>
    <t>ТЕРЕНТЬЕВ Константин Алексеевич</t>
  </si>
  <si>
    <t>с. Новоивановский Чебулинского района Кемеровской области</t>
  </si>
  <si>
    <t>мать: Терентьева Светлана Борисовна, отец: Терентьев Алексей Витальевич</t>
  </si>
  <si>
    <t>Кемеровская, Новоивановский, Новая, 2</t>
  </si>
  <si>
    <t>8-937-720-00-42
8-913-455-85-91</t>
  </si>
  <si>
    <t>Заместитель командира роты по военно-политической работе 1 мотострелковой роты  1 мотострелкового батальона</t>
  </si>
  <si>
    <t>НАЗАРЕНКО Сергей Александрович</t>
  </si>
  <si>
    <t>г. Валуйки Белгородской области</t>
  </si>
  <si>
    <t>отец: Назаренко Александр Иванович, мать: Назаренко Наталья Васильевна, жена: Назаренко Инна Вадимовна 29.10.1988 г.р., сын: Роман 14.09.2010 г.р., дочь: Дарья 15.01.2014 г.р.</t>
  </si>
  <si>
    <t>Белгородская, Валуйки, Грецова, 2</t>
  </si>
  <si>
    <t>8-937-564-05-87</t>
  </si>
  <si>
    <t>Командир 1 мотострелкового взвода 1 мотострелковой роты 1 мотострелкового батальона</t>
  </si>
  <si>
    <t>РУЧКИН Денис Вадимович</t>
  </si>
  <si>
    <t>гор. Коломна Московской обл.</t>
  </si>
  <si>
    <t>жена: Ручкина (Дрижак) Мария Анатольевна, 02.05.1993 г.р.;
сын: Ручкин Максим Денисович, 13.08.2018 г.р.;
мать Ручкина (Журавлева) Вероника Владимировна, 1969 г.р.;
отец: Ручкин Вадим Михайлович, 1968 г.р.</t>
  </si>
  <si>
    <t>Амурская, Белогорск, в/ч 02901, 02901</t>
  </si>
  <si>
    <t>8-961-280-11-53
8-995-411-98-01</t>
  </si>
  <si>
    <t>Командир 2 мотострелкового взвода 1 мотострелковой роты 1 мотострелкового батальона</t>
  </si>
  <si>
    <t>МАРТЮШОВ Дмитрий Андреевич</t>
  </si>
  <si>
    <t>г. Балаговещенск Амурская обл. Россия</t>
  </si>
  <si>
    <t>отец: Мартюшов Андрей Юрьевич, 1972 г.р.
Мать: Мартюшова Ольга Игоревна, 24.06.1972 г.р.</t>
  </si>
  <si>
    <t>Амурская, Гонжа, Красноармейская, 13</t>
  </si>
  <si>
    <t>8-950-491-93-54</t>
  </si>
  <si>
    <t>Командир 3 мотострелкового взвода 1 мотострелковой роты 1 мотострелкового батальона</t>
  </si>
  <si>
    <t>КОШАРЕНКО Александр Михайлович</t>
  </si>
  <si>
    <t>мать: Кошаренко Светлана Ивановна, отец: Кошаренко Михаил Николаевич, жена: Кошаренко Татьяна Александровна 07.02.1987 г.р., сын: Владислав 07.02.2015 г.</t>
  </si>
  <si>
    <t>Волгоградская, Волгоград, Хиросимы, 16</t>
  </si>
  <si>
    <t>8-904-772-52-84</t>
  </si>
  <si>
    <t>Командир 2 мотострелковой роты 1 мотострелкового батальона</t>
  </si>
  <si>
    <t xml:space="preserve">ЗАБЕЛИН Сергей Николаевич </t>
  </si>
  <si>
    <t>пос. Заиграево Заиграевского района Республики Бурятия</t>
  </si>
  <si>
    <t>мать: Забелина Елена Григорьевна, отец: Забелин Николай Валерьевич</t>
  </si>
  <si>
    <t>8-999-462-44-71</t>
  </si>
  <si>
    <t>Заместитель командира роты по военно-политической работе 2 мотострелковой роты  1 мотострелкового батальона</t>
  </si>
  <si>
    <t>МИЛЮКОВ Александр Сергеевич</t>
  </si>
  <si>
    <t>мать: Сычева (Голованова) Ольга Анатольевна, отец: Малюков Сергей Петрович</t>
  </si>
  <si>
    <t>Волгоградская, Волжский, Пушкина, 106</t>
  </si>
  <si>
    <t>8-919-982-14-45,
8-999-874-42-47</t>
  </si>
  <si>
    <t>Командир 1 мотострелкового взвода 2 мотострелковой роты 1 мотострелкового батальона</t>
  </si>
  <si>
    <t xml:space="preserve">КУЛИКОВ Никита Русланович </t>
  </si>
  <si>
    <t>г. Михайловка Волгоградской обл.</t>
  </si>
  <si>
    <t>отец: Куликов Руслан Михайлович, 28.01.1974 г.р.
Мать Куликова Ирина Борисовна, 30.08.1975 г.р.</t>
  </si>
  <si>
    <t>Волгоградская, Михайловка, 2 Краснознаменская, 65</t>
  </si>
  <si>
    <t>8-904-758-43-17</t>
  </si>
  <si>
    <t>Командир 2 мотострелкового взвода 2 мотострелковой роты 1 мотострелкового батальона</t>
  </si>
  <si>
    <t>КОРЖЕНЕВСКИЙ Павел Алексеевич</t>
  </si>
  <si>
    <t>г. Новокузнецк Кемеровская область</t>
  </si>
  <si>
    <t>мать: Корженевская Галина Ивановна, отец: Корженевский Алексей Владимирович</t>
  </si>
  <si>
    <t>Кемеровская, Новокузнецк, 40 лет ВЛКСМ, 60</t>
  </si>
  <si>
    <t>8-988-001-92-33</t>
  </si>
  <si>
    <t>Командир 2 мотострелкового взвода 3 мотострелковой роты 1 мотострелкового батальона</t>
  </si>
  <si>
    <t>КОЧАНОВ Дмитрий Игоревич</t>
  </si>
  <si>
    <t>г. Сураж Брянской области</t>
  </si>
  <si>
    <t>мать: Кочанова (Черепкова) Светлана Валеревна, отец: Кочанов Игорь Михайлович</t>
  </si>
  <si>
    <t>Московская, Химки, Подрезково, Новозаводская, 12</t>
  </si>
  <si>
    <t>8-926-014-38-16</t>
  </si>
  <si>
    <t>Командир 3 мотострелковой роты 1 мотострелкового батальона</t>
  </si>
  <si>
    <t>МЫШЕНКОВ Александр Сергеевич</t>
  </si>
  <si>
    <t>мать: Мышенкова (Дрига) Елена Васильевна 1973 г.р., жена: Мышенкова (Терихова) Анна Николаевна 12.10.1988 г.р., дочь: Алиса 27.07.2011 г.р., дочь: Полина 01.07.2016 г.р.</t>
  </si>
  <si>
    <t>Амурская, Благовещенск, Загородная, 69</t>
  </si>
  <si>
    <t>8-937-536-51-09</t>
  </si>
  <si>
    <t>Заместитель командира роты по военно-политической работе 3 мотострелковой роты 1 мотострелкового батальона</t>
  </si>
  <si>
    <t>ЗОТОВ Алексей Валерьевич</t>
  </si>
  <si>
    <t>мать: Зотова Любовь Викторовна, отец: Зотов Валерий Николаевич, жена: Зотова (Поспеловская) Анна Борисовна 12.02.1985 г.р., сын: Максим 14.10.2009 г.р., дочь: Ксения, 02.12.2018 г.р.</t>
  </si>
  <si>
    <t xml:space="preserve">Волгоградская, Волгоград, в/ч 34605, </t>
  </si>
  <si>
    <t>8-961-062-34-35</t>
  </si>
  <si>
    <t>Командир 1 мотострелкового взвода 3 мотострелковой роты 1 мотострелкового батальона</t>
  </si>
  <si>
    <t>ЯЗЕВ Виктор Александрович</t>
  </si>
  <si>
    <t>мать: Язева Ирина Викторовна 03.11.1956 г.р.</t>
  </si>
  <si>
    <t>8-961-676-91-91</t>
  </si>
  <si>
    <t>ГЛАДЫШЕВ Владимир Дмитриевич</t>
  </si>
  <si>
    <t>г. Благовещенск Амурская области</t>
  </si>
  <si>
    <t>Жена: Гладышева (Остапенко) Александра Юрьевна, 28.08.1998 г.р.
Отец Посух Дмитрий Николаевич, 02.04.1976 г.р.
Мать: Гладышева Валентина Валерьевна, 20.09.1981 г.р.</t>
  </si>
  <si>
    <t>Амурская, Благовещенск, Островского, 234</t>
  </si>
  <si>
    <t>8-914-040-17-65
8-988-002-18-30</t>
  </si>
  <si>
    <t>Командир 3 мотострелкового взвода 3 мотострелковой роты 1 мотострелкового батальона</t>
  </si>
  <si>
    <t>КЛИМОВ Алексей Александрович</t>
  </si>
  <si>
    <t>пос. Щегловский Кемеровский район Кемеровской области</t>
  </si>
  <si>
    <t>мать: Климова (Орлова) Надежда Петровна 1956 г.р., отец: Климов Александр Иванович 1958 г.р., жена: Климова (Демидова) Алина Павловна 14.05.1997 г.р.</t>
  </si>
  <si>
    <t>8-999-681-14-81</t>
  </si>
  <si>
    <t>Командир минометной батареи 1 мотострелкового батальона</t>
  </si>
  <si>
    <t>ПИЧЕВ Максим Андреевич</t>
  </si>
  <si>
    <t>гор. Балашов Саратовская область</t>
  </si>
  <si>
    <t>отец: Пичев Андрей Геннадьевич 10.05.1967 г.р., мать: Пичева ( Меринова) Татьяна Викторовна 06.04.1968 г.р., жена: Пичева ( Смагина) Светлана Владимировна 04.05.1989 г.р., сын: Пичев Артем Максимович 04.07.2018 г.р.</t>
  </si>
  <si>
    <t>Саратовская, Балашов, Калинина, 21</t>
  </si>
  <si>
    <t>8-999-628-93-95</t>
  </si>
  <si>
    <t>Командир взвода-старший офицер на батарее 1 минометного взвода минометной батареи 1 мотострелкового батальона</t>
  </si>
  <si>
    <t>ТАТАРИНОВ Андрей Викторович</t>
  </si>
  <si>
    <t>гор. Ардатов Мордоской АССР</t>
  </si>
  <si>
    <t>Жена: Татаринова (Зенина) Лариса Андреевна, 04.09.1990 г.р., дочь: Алла, 18.09.2014 г.р., сын: Константин, 16.08.2019 г.р., отец: Татаринов Виктор Константинович, 09.05.1962 г.р., Мать: Тетина Анна Ивановна, 23.10.1961 г.р.</t>
  </si>
  <si>
    <t>Волгоградская, Новониколаевский, Молодежная, 53</t>
  </si>
  <si>
    <t>8-988-691-85-98</t>
  </si>
  <si>
    <t>Командир 2 минометного взвода артиллерийской минометной 1 мотострелкового батальона</t>
  </si>
  <si>
    <t>МАНЖИКОВ Максим Тимофеевич</t>
  </si>
  <si>
    <t>г. Элиста Республика Калмыкия</t>
  </si>
  <si>
    <t>калмык</t>
  </si>
  <si>
    <t>Жена: Манжикова (Пюрвеева) Эльзята Алексеевна, 24.08.1991 г.р., Отец: Манжиков Тимофей Николаевич, 04.01.1954 г.р.</t>
  </si>
  <si>
    <t>Калмыкия, Элиста, Чапаева, влд28</t>
  </si>
  <si>
    <t>8-961-546-99-29</t>
  </si>
  <si>
    <t>Командир взвода управления минометной батареи 1 мотострелкового батальона</t>
  </si>
  <si>
    <t>ВАКАНТ (ВУПУСКНИК МВАА)</t>
  </si>
  <si>
    <t>Командир гранатометного взвода 1 мотострелкового батальона</t>
  </si>
  <si>
    <t>Начальник связи-командир взвода связи 1 мотострелкового батальона</t>
  </si>
  <si>
    <t>МИЩЕНКО Никита Дмитриевич</t>
  </si>
  <si>
    <t>г. Комсомольск-на-Амуре</t>
  </si>
  <si>
    <t>жена: Мищенко (Филатова) Татьяна Анатольевна, 25.01.1998 г.р.
Отец: Мищенко Дмитрий Владимирович, (умер 29.06.2006 г.)
мать: Мищенко (Колмыкова) Юлия Анатольевна, 29.07.1977 г.р.</t>
  </si>
  <si>
    <t>г. Пенза, ул. Рахманинова, д. 31, кв. 54</t>
  </si>
  <si>
    <t>8-999-110-38-64</t>
  </si>
  <si>
    <t>Командир взвода - врач медицинского взвода 1 мотострелкового батальона</t>
  </si>
  <si>
    <t>ст. лейтенант м/с</t>
  </si>
  <si>
    <t>лейтенант м/с</t>
  </si>
  <si>
    <t>ГОЛОВИНОВ Антон Геннадьевич</t>
  </si>
  <si>
    <t>с. Красная поляна Песчанокопский р-н Ростовская обл.</t>
  </si>
  <si>
    <t>Жена: Головинова (Писек) Яна Юрьевна, 03.07.1997 г.р.
Отец: Гловинов Геннадий Алексеевич, 14.07.1968 г.р.
Мать: Головинова Лариса Викторовна, 26.04.1972 г.р.</t>
  </si>
  <si>
    <t>Ростовская, Дальнее Поле, Садовая, 6</t>
  </si>
  <si>
    <t>8-919-542-86-64</t>
  </si>
  <si>
    <t>2 мсб</t>
  </si>
  <si>
    <t>Командир 2 мотострелкового батальона</t>
  </si>
  <si>
    <t>АЛЕСКЕРОВ Эльдар Адикович</t>
  </si>
  <si>
    <t>отец: Алескеров Адик Бабаевич 1950 г.р., мать: Алескерова Патимат Магомедовна 1954 г.р., жена: Алескерова (Талумаголидова) Патимат Магомедрасуловна 10.04.1992 г.р., дочь: Лейла 26.08.2012 г.р., Сын: Ахмад 24.04.2019 г.р.</t>
  </si>
  <si>
    <t>8-927-522-24-20</t>
  </si>
  <si>
    <t>ВЫПУСКНИК ВУНЦ СВ</t>
  </si>
  <si>
    <t>Заместитель командира 2 мотострелкового батальона</t>
  </si>
  <si>
    <t>АЛИМУРАДОВ Бахтияр Гаджимурадович</t>
  </si>
  <si>
    <t>с. Кува Табасаранского района Республики Дагестан</t>
  </si>
  <si>
    <t>табасаранец</t>
  </si>
  <si>
    <t>отец: Алимурадов Гаджимурад Гаджабович 20.08.1962 г.р., мать: Алимурадова Маржият Исрафиловна 23.11.1964 г.р., жена: Алимурадова (Абдуллаева) Джамиля Нусуруллаевна 15.11.1985 г.р., дочь: Альбина 27.10.2008 г.р., сын: Магомед 25.09.2010 г.р., дочь: Амина 11.07.2015 г.р.</t>
  </si>
  <si>
    <t>8-969-659-36-75</t>
  </si>
  <si>
    <t>Заместитель командира батальона по военно-политической работе 2 мотострелкового батальона</t>
  </si>
  <si>
    <t>ГАСАНОВ Турал Новруз оглы</t>
  </si>
  <si>
    <t>с. Даста Ордубадского р-на Нахичеванской обл. Республики Азербайджан</t>
  </si>
  <si>
    <t>азербайджанец</t>
  </si>
  <si>
    <t>отец: Гасанов Новруз Гурбан оглы, мать: Гусейнова Арзу Мухтар кызы, жена: Гасанова (Мухтарова) Мехрибан Фируддин кызы 23.04.1997 г.р.</t>
  </si>
  <si>
    <t>Волгоградская, Антиповка, Войнова, 8</t>
  </si>
  <si>
    <t>8-927-066-88-01</t>
  </si>
  <si>
    <t>Заместитель командира батальона по вооружению 2 мотострелкового батальона</t>
  </si>
  <si>
    <t>ГАДЖЕСОВ Умахан Камилович</t>
  </si>
  <si>
    <t>Начальник штаба-заместитель командира 2 мотострелкового батальона</t>
  </si>
  <si>
    <t>ПЕТРУК И.Б.</t>
  </si>
  <si>
    <t>Заместитель начальника штаба 2 мотострелкового батальона</t>
  </si>
  <si>
    <t>КЛОЧКОВ Михаил Михайлович</t>
  </si>
  <si>
    <t>мать: Чепрасова (Данилова) Ольга Васильевна 1955 г.р., жена: Клочкова Марина Александровна 1986 г.р., сын: Александр 2011 г.р.</t>
  </si>
  <si>
    <t>Волгоградская, Волгоград, им Гвоздкова, 20</t>
  </si>
  <si>
    <t>8-917-337-63-75</t>
  </si>
  <si>
    <t>Командир 4 мотострелковой роты 2 мотострелкового батальона</t>
  </si>
  <si>
    <t xml:space="preserve">КАЗАРЦЕВ Андрей Дмитриевич </t>
  </si>
  <si>
    <t>р.пос. Нижний Чир Суровикинского района Волгоградской области</t>
  </si>
  <si>
    <t>отец: Казарцев Дмитрий Олегович
Мать: Казарцева Наталья Владимировна</t>
  </si>
  <si>
    <t>Волгоградская, Нижний Чир, Карла Маркса, 29</t>
  </si>
  <si>
    <t>8-906-406-57-20</t>
  </si>
  <si>
    <t>Заместитель командира роты по военно-политической работе 4 мотострелковой роты 2 мотострелкового батальона</t>
  </si>
  <si>
    <t>КУРШЕВ Ахмед Мусалинович</t>
  </si>
  <si>
    <t>с. Кызбурун-1 Баксанского района КБР</t>
  </si>
  <si>
    <t>кабардинец</t>
  </si>
  <si>
    <t>отец: Куршев Мусалин Коншоубиевич 1955 г.р., мать: Куршева (Шетова) Фуся Азреталиевна 1958 г.р., жена: Гошокова Инесса Сафарбиевна 24.07.1987 г.р., сын: Айдар 03.10.2016 г.р.</t>
  </si>
  <si>
    <t>Кабардино-Балкария, Нальчик, Мальбахова, 34б</t>
  </si>
  <si>
    <t>л</t>
  </si>
  <si>
    <t>Командир 1 мотострелкового взвода 4 мотострелковой роты 2 мотострелкового батальона</t>
  </si>
  <si>
    <t>Командир 2 мотострелкового взвода 4 мотострелковой роты 2 мотострелкового батальона</t>
  </si>
  <si>
    <t>БОРИСОВ Андрей Юрьевич</t>
  </si>
  <si>
    <t>гор. Потсдам ГДР</t>
  </si>
  <si>
    <t>жена: Борисова (Черная) Анна Александровна, 08.06.1988 г.р., дочь: Софья, 04.08.2014 г.р., отец: Борисов Юрий Васильевич, мать: Борисова Галина Ивановна</t>
  </si>
  <si>
    <t>г. Волгоград, ул. Шекснинская, д. 32, кв. 157</t>
  </si>
  <si>
    <t>8-988-498-98-52</t>
  </si>
  <si>
    <t>Командир 3 мотострелкового взвода 4 мотострелковой роты 2 мотострелкового батальона</t>
  </si>
  <si>
    <t>БЫКОВ Антон Сергеевич</t>
  </si>
  <si>
    <t>пос. Мухинский Октябрьского р-на Амурской области</t>
  </si>
  <si>
    <t>мать: Быкова Татьяна Владимировна 1965 г.р.</t>
  </si>
  <si>
    <t>Амурская, Лиманное, Набережная, 36</t>
  </si>
  <si>
    <t>8-914-399-42-50</t>
  </si>
  <si>
    <t>Командир 5 мотострелковой роты 2 мотострелкового батальона</t>
  </si>
  <si>
    <t>КОШЕЛЕВ Александр Николаевич</t>
  </si>
  <si>
    <t>г. Новград-Волынский Житомирской обл. Украина</t>
  </si>
  <si>
    <t>отец: Кошелев Николай Николаевич, мать: Кошелева Наталия Андреевна</t>
  </si>
  <si>
    <t>Ростовская, Ростов-на-Дону, Горшкова, 6В</t>
  </si>
  <si>
    <t>8-919-799-04-14
8-929-782-65-32
8-915-317-65-75</t>
  </si>
  <si>
    <t>Заместитель командира роты по военно-политической работе 5 мотострелковой роты 2 мотострелкового батальона</t>
  </si>
  <si>
    <t>Командир 1 мотострелкового взвода 5 мотострелковой роты 2 мотострелкового батальона</t>
  </si>
  <si>
    <t>АРШИНОВ Иван Дмитриевич</t>
  </si>
  <si>
    <t>г. Ярославль</t>
  </si>
  <si>
    <t>отец: Аршинов Дмитрий Александрович
мать: Аршинова Наталья Германовна</t>
  </si>
  <si>
    <t>8-999-466-76-01</t>
  </si>
  <si>
    <t>Командир 2 мотострелкового взвода 5 мотострелковой роты 2 мотострелкового батальона</t>
  </si>
  <si>
    <t xml:space="preserve">МАЛАХОВ Николай Сергеевич </t>
  </si>
  <si>
    <t>г. Миллерово, Ростовская область</t>
  </si>
  <si>
    <t>Отец: Малахов Сергей Анатольевич, 1972 г.р.
Мать: Малахова Татьяна Валентиновна, 1974 г.р.</t>
  </si>
  <si>
    <t>Ростовская, Миллерово, Сергея Лазо, 1 А</t>
  </si>
  <si>
    <t>8-928-754-05-56</t>
  </si>
  <si>
    <t>Командир 3 мотострелкового взвода 5 мотострелковой роты 2 мотострелкового батальона</t>
  </si>
  <si>
    <t>НАГОРНОВ Дмитрий Александрович</t>
  </si>
  <si>
    <t>мать: Подчепаева (Смиян) Татьяна Николаевна 1974 г.р., отец: Нагорнов Александр Васильевич 1972 г.р., жена: Нагорнова (Жарикова) Кристина Федоровна 19.01.1993 г.р.</t>
  </si>
  <si>
    <t>8-987-655-47-70</t>
  </si>
  <si>
    <t>Командир 6 мотострелковой роты 2 мотострелкового батальона</t>
  </si>
  <si>
    <t>КИРИЛЛОВ Михаил Николаевич</t>
  </si>
  <si>
    <t>г. Березники Прмской области</t>
  </si>
  <si>
    <t>мать: Вавилина Надежда Николаевна, отец: Вавилин Сергей Борисович</t>
  </si>
  <si>
    <t>Пермский, Березники, Дачная, 14</t>
  </si>
  <si>
    <t>8-982-452-05-54</t>
  </si>
  <si>
    <t>Заместитель командира роты по военно-политической работе 6 мотострелковой роты 2 мотострелкового батальона</t>
  </si>
  <si>
    <t>Командир 1 мотострелкового взвода 6 мотострелковой роты 2 мотострелкового батальона</t>
  </si>
  <si>
    <t>ТРОШИН Артем Денисович</t>
  </si>
  <si>
    <t>п. Березово Березовского района Ханты-Мансийский АО</t>
  </si>
  <si>
    <t>мать: Кузнецова Ирина Васильевна, отец: Трошин Денис Витальевич, мать: Трошина Евгения Владимировна 07.05.1997 г.р., дочь: Маргарита 03.04.2018 г.р.</t>
  </si>
  <si>
    <t>Оренбургская, Домбаровский, Комсомольская, 3/1</t>
  </si>
  <si>
    <t>8-996-381-23-91</t>
  </si>
  <si>
    <t>Командир 2 мотострелкового взвода 6 мотострелковой роты 2 мотострелкового батальона</t>
  </si>
  <si>
    <t>ЮЩЕНКО Станислав Константинович</t>
  </si>
  <si>
    <t>г. Белогорск Амурской области</t>
  </si>
  <si>
    <t>отец: Ющенко Константин Викторович,
мать: Ющенко Татьяна Владимировна</t>
  </si>
  <si>
    <t>Амурская, Белогорск, Никольское шоссе, 29</t>
  </si>
  <si>
    <t>8-914-607-52-55</t>
  </si>
  <si>
    <t>Командир 3 мотострелкового взвода 6 мотострелковой роты 2 мотострелкового батальона</t>
  </si>
  <si>
    <t>Командир минометной батареи 2 мотострелкового батальона</t>
  </si>
  <si>
    <t>СТЕКОЛЬЩИКОВ Алексей Альбертович</t>
  </si>
  <si>
    <t>п. Морки Моркинского района Марийской АССР</t>
  </si>
  <si>
    <t>мари</t>
  </si>
  <si>
    <t>отец: Стекольщиков Альберт Никифорович, мать: Стекольщикова Татьяна Валентиновна, жена Стекольщикова (Федорова) Марина Валерьевна 02.05.1988 г.р., дочь: Арина 02.11.2013 г.р., дочь: Алана 24.11.2017 г.р.</t>
  </si>
  <si>
    <t>Марий Эл, Морки, В.Колумба, 6</t>
  </si>
  <si>
    <t>8-937-655-36-80
8-937-084-84-39</t>
  </si>
  <si>
    <t>Командир взвода-старший офицер на батарее 1 минометного взвода минометной батареи 2 мотострелкового батальона</t>
  </si>
  <si>
    <t>ПЕТРЕНКО Андрей Александрович</t>
  </si>
  <si>
    <t>г. Камышин Волгоградской обл.</t>
  </si>
  <si>
    <t>жена: Петренко (Бабенко) Елена Викторовна, 24.11.1989 г.р.
Сын: Петренко Александр Андреевич, 23.06.2018 г.р.
Отец: Петренко Алекасндр Геннадьевич, 02.10.1963 г.р.
Мать: Бурмашева Елена Владимировна, 17.08.1974 г.р.</t>
  </si>
  <si>
    <t>Волгоградская обл., г. Камышин, ул. Пролетарская, д. 126А, кв. 1</t>
  </si>
  <si>
    <t>8-937-534-02-90</t>
  </si>
  <si>
    <t>Командир 2 минометного взвода минометной батареи 2 мотострелкового батальона</t>
  </si>
  <si>
    <t>ТРОИЦКОВ Сергей Алексеевич</t>
  </si>
  <si>
    <t>отец: Троицков Алексей Иванович, мать: Троицкова (Васильева) Марина Викторовна, жена: Троицкова Анастасия Игоревна 27.04.1993 г.р.</t>
  </si>
  <si>
    <t>Волгоградская, Волгоград, Крестьянская, 127а</t>
  </si>
  <si>
    <t>8-988-039-01-70</t>
  </si>
  <si>
    <t>Командир взвода управления минометной батареи 2 мотострелкового батальона</t>
  </si>
  <si>
    <t>Командир гранатометного взвода 2 мотострелкового батальона</t>
  </si>
  <si>
    <t>МОРОЗОВ Илья Игоревич</t>
  </si>
  <si>
    <t>г. Наро-Фоминск Московской области</t>
  </si>
  <si>
    <t>мать: Лесных (Морозова) Вера Викторовна</t>
  </si>
  <si>
    <t>8-916-150-16-30</t>
  </si>
  <si>
    <t>Начальник связи-командир взвода связи 2 мотострелкового батальона</t>
  </si>
  <si>
    <t>Командир взвода- врач медицинского взвода 2 мотострелкового батальона</t>
  </si>
  <si>
    <t>ВАКАНТ (ВЫПУСКНИК МГМУ сентябрь)</t>
  </si>
  <si>
    <t>3 мсб</t>
  </si>
  <si>
    <t>Командир 3 мотострелкового батальона</t>
  </si>
  <si>
    <t>ШУПЛЕЦОВ Алексей Николаевич</t>
  </si>
  <si>
    <t>гор. Муром Владимирской обл.</t>
  </si>
  <si>
    <t>отец: Шуплецов Николай Геннадьевич, 1959 г.р.
мать: Караткова Елена Владимировна, 1963 г.р.
Дочь: Шуплецова Екатерина Алексеевна, 2012 г.р.</t>
  </si>
  <si>
    <t>Северная Осетия, Владикавказ, Спутник, в/ч 66431</t>
  </si>
  <si>
    <t>8-952-417-64-31</t>
  </si>
  <si>
    <t>Заместитель командира 3 мотострелкового батальона</t>
  </si>
  <si>
    <t>ШАРНИН Денис Владимирович</t>
  </si>
  <si>
    <t>пос. Шахтерский Суворовского р-на Тульская область</t>
  </si>
  <si>
    <t>жена: Шарнина (Чепелева) Наталья Сергеевна, 23.01.1986 г.р.
Дочь: Шарнина Владислава Денисовна, 26.08.2012 г.р.
Сын: Шарнин Александр Денисович, 12.11.2015 г.р.</t>
  </si>
  <si>
    <t>Волгоградская, Волгоград, Кузнецкая, 34</t>
  </si>
  <si>
    <t>8-917-720-82-24</t>
  </si>
  <si>
    <t>Заместитель командира батальона по военно-политической работе 3 мотострелкового батальона</t>
  </si>
  <si>
    <t xml:space="preserve">Заместитель командира батальона по вооружению 3 мотострелкового батальона </t>
  </si>
  <si>
    <t>СТУКАНЕВ Евгений Александрович</t>
  </si>
  <si>
    <t>пос. Уразово Валуйского р-на Белгородской обл.</t>
  </si>
  <si>
    <t>Жена: Саблисенко Алена Викторовна 12.09.1990 г.р.; Дочь: Стуканева Валерия Евгеньевна 21.05.2010 г.р.; Отец: Стуканев Александр Васильевич 16.08.1956 г.р.; Сын: Мирон 03.08.2019 г.р.</t>
  </si>
  <si>
    <t>Белгородская, Уразово, Калинина ул, 7</t>
  </si>
  <si>
    <t>8-937-538-6418</t>
  </si>
  <si>
    <t>Начальник штаба-заместитель командира 3 мотострелкового батальона</t>
  </si>
  <si>
    <t>ТАТЕНКО Максим Михаилович</t>
  </si>
  <si>
    <t>ст. Курская Курского района Ставропольского края</t>
  </si>
  <si>
    <t>жена: Татенко Михаил Иванович, умер в 1988 г., мать: Татенко (Буслова) Светлана Афанасьева, жена: Татенко (Коновалова) Дарья Сергеевна 04.01.1991 г.р., сын: Данил 26.09.2011 г.р., сын: Роман 08.11.2017 г.р.</t>
  </si>
  <si>
    <t>Ставропольский, Курская, Гагарина, 102</t>
  </si>
  <si>
    <t>8-988-498-06-65</t>
  </si>
  <si>
    <t>Заместитель начальника штаба 3 мотострелкового батальона</t>
  </si>
  <si>
    <t>МАЛЫШЕВ Сергей Петрович</t>
  </si>
  <si>
    <t>ст. Курчанская Темрюкского района Краснодарского края</t>
  </si>
  <si>
    <t>отец: Малышев Петр Васильевич, мать: Малышева Зинаида Васильевна, жена: Малышева Наталья Евгеньевна 23.06.1980 г.р., дочь: Елизавета 18.04.2014 г.р.</t>
  </si>
  <si>
    <t>Командир 7 мотострелковой роты 3 мотострелкового батальона</t>
  </si>
  <si>
    <t>МАЛИКОВ Руслан Иванович</t>
  </si>
  <si>
    <t>хут. Ольшанка, Урюпинский район, Волгоградской области</t>
  </si>
  <si>
    <t>жена: Маликова (Михалевич) Юлия Владимировна, 20.05.1996 г.р.
сын – Богдан, 19.05.2020 
отец: Маликов (Азаров) Иван Васильевич,мать: Маликова (Мустафинова) Галия Михайловна</t>
  </si>
  <si>
    <t>8-920-666-39-69</t>
  </si>
  <si>
    <t>Заместитель командира роты по военно-политической работе 7 мотострелковой роты 3 мотострелкового батальона</t>
  </si>
  <si>
    <t>МИХАЙЛОВ Саранг Валерьевич</t>
  </si>
  <si>
    <t>пос. Унгун Теречи Малодербетовского р-на респ. Калмыкия</t>
  </si>
  <si>
    <t>отец: Михайлов Валерий Сергеевич, мать: Михайлова (Буваева) Виктория Степановна</t>
  </si>
  <si>
    <t>Калмыкия, Унгун Терячи, Партизанский, 1</t>
  </si>
  <si>
    <t>8-999-849-22-73</t>
  </si>
  <si>
    <t>Командир 1 мотострелкового взвода 7 мотострелковой роты 3 мотострелкового батальона</t>
  </si>
  <si>
    <t>ВАКАНТ (ВЫПУСКНИК ДВОКУ)</t>
  </si>
  <si>
    <t>Командир 2 мотострелкового взвода 7 мотострелковой роты 3 мотострелкового батальона</t>
  </si>
  <si>
    <t>СУРИКОВ Вячеслав Николаевич</t>
  </si>
  <si>
    <t>г. Новосибирск</t>
  </si>
  <si>
    <t>мать: Сурикова Лилия Александровна, отец: Суриков Николай Николаевич, жена: Сурикова Ульяна Александровна 17.12.1995 г.р., сын: Богдан 25.01.2019 г.р.</t>
  </si>
  <si>
    <t>8-999-464-72-62</t>
  </si>
  <si>
    <t>Командир 3 мотострелкового взвода 7 мотострелковой роты 3 мотострелкового батальона</t>
  </si>
  <si>
    <t xml:space="preserve">ПАШИН Вячеслав Алексеевич </t>
  </si>
  <si>
    <t>гор. Тюмень</t>
  </si>
  <si>
    <t>отец: Пашин Алексей Вячеславович, 07.04.1971 г.р.
Мать: Тимофеева Наталья Владиславовна, 12.10.1972 г.р.</t>
  </si>
  <si>
    <t>8-913-908-76-21</t>
  </si>
  <si>
    <t>Командир 8 мотострелковой роты 3 мотострелкового батальона</t>
  </si>
  <si>
    <t>ШИЛОВ Владимир Николаевич</t>
  </si>
  <si>
    <t>г. Хабаровск</t>
  </si>
  <si>
    <t>мать: Шилова (Карманова) Ольга Вальевна 1970 г.р., отец: Шилов Николай Эрнестович</t>
  </si>
  <si>
    <t>Хабаровский, Хабаровск, Уборевича, 54</t>
  </si>
  <si>
    <t>8-914-579-29-53</t>
  </si>
  <si>
    <t>Заместитель командира  роты по военно-политической работе 8 мотострелковой роты 3 мотострелкового батальона</t>
  </si>
  <si>
    <t>САХАРОВ Федор Владимирович</t>
  </si>
  <si>
    <t>Республика Бурятия г. Улан-Удэ</t>
  </si>
  <si>
    <t>отец: Сахаров Владимир Николаевич, мать: Сахарова (Сабиржанова) Нажия Хорисовна</t>
  </si>
  <si>
    <t>Бурятия, Улан-Удэ, Мокрова, 24</t>
  </si>
  <si>
    <t>Командир 1 мотострелкового взвода 8 мотострелковой роты 3 мотострелкового батальона</t>
  </si>
  <si>
    <t>ТЕРИКОВ Михаил Александрович</t>
  </si>
  <si>
    <t>пос. Октябрьский Ванинского района Хабаровского края</t>
  </si>
  <si>
    <t>Мать: Терикова Ирина Геннадьевна 21.03.1973 г.р.; Отец: Териков Александр Васильевич умер 25.03.2018 г.</t>
  </si>
  <si>
    <t>Ростовская, Новочеркасск, Кадамовская, 7</t>
  </si>
  <si>
    <t>8-913-774-54-81</t>
  </si>
  <si>
    <t>Командир 2 мотострелкового взвода 8 мотострелковой роты 3 мотострелкового батальона</t>
  </si>
  <si>
    <t>Командир 3 мотострелкового взвода 8 мотострелковой роты 3 мотострелкового батальона</t>
  </si>
  <si>
    <t>АТАЕВ Василий Вячеславович</t>
  </si>
  <si>
    <t>мать: Саакова Мария Валерьевна 1977 г.р.</t>
  </si>
  <si>
    <t>8-914-574-24-33</t>
  </si>
  <si>
    <t>Командир 9 мотострелковой роты 3 мотострелкового батальона</t>
  </si>
  <si>
    <t>БУДАСОВ Владимир Сергеевич</t>
  </si>
  <si>
    <t>х. Кутейников Милютинский район Ростовская область</t>
  </si>
  <si>
    <t>мать: Будасова Светлана Владимировна, отец: Будасов Сргей Николаевич</t>
  </si>
  <si>
    <t>8-999-809-30-41
8-937-711-45-22</t>
  </si>
  <si>
    <t>Заместитель командира роты по военно-политической работе 9 мотострелковой роты 3 мотострелкового батальона</t>
  </si>
  <si>
    <t>ЛЮТАН Михаил Юрьевич</t>
  </si>
  <si>
    <t>Командир 1 мотострелкового взвода 9 мотострелковой роты 3 мотострелкового батальона</t>
  </si>
  <si>
    <t>САВЕЛЬЕВ Роман Олегович</t>
  </si>
  <si>
    <t>Командир 2 мотострелкового взвода 9 мотострелковой роты 3 мотострелкового батальона</t>
  </si>
  <si>
    <t>КОВАЛЕВ Сергей Владимирович</t>
  </si>
  <si>
    <t>с. Большепанюшево Алтайского р-на Алтайског края</t>
  </si>
  <si>
    <t>мать: Ковалева (Люфт) Надежда Владимировна, отец: Ковалев Владимир Ильич, жена: Ковалева (Толмачева) Светлана Владимировна 12.12.1990 г.р.</t>
  </si>
  <si>
    <t>8-905-290-11-51
8-903-547-56-09</t>
  </si>
  <si>
    <t>Командир 3 мотострелкового взвода 9 мотострелковой роты 3 мотострелкового батальона</t>
  </si>
  <si>
    <t>СВИРИДЮК Александр Витальевич</t>
  </si>
  <si>
    <t>с. Пашково Облученского района Еврейской автономной области</t>
  </si>
  <si>
    <t>мать: Губа (Свиридюк) Валентина Адамовна 1967 г.р., отец: Губа Анатолий Васильевич 1958 г.р., жена: Свиридюк (Иваненко) Екатерина Сергеевна 05.12.1998 г.р.</t>
  </si>
  <si>
    <t>8-914-584-50-55</t>
  </si>
  <si>
    <t>Командир минометной батареи 3 мотострелкового батальона</t>
  </si>
  <si>
    <t>БАБАЕВ Дмитрий Анатольевич</t>
  </si>
  <si>
    <t>гор. Сердобск Пензенской обл.</t>
  </si>
  <si>
    <t>жена: Бабаева (Назарова) Анастасия Евгеньевна, 19.08.1988 г.р.
Сын: Роман, 27.10.2013 г.р.
Сын: Захар, 13.04.2016 г.р.
Отец: Бабаев Анатолий Фёдорович, 22.10.1954 г.р.
Мать: Бабаева (Зинина) Татьяна Михайловна, 22.02.1956 г.р.</t>
  </si>
  <si>
    <t>Пензенская, Сердобск, Первомайская, 8</t>
  </si>
  <si>
    <t>8-927-541-61-40</t>
  </si>
  <si>
    <t>Командир взвода-старший офицер на батарее 1 минометного взвода минометной батареи 3 мотострелкового батальона</t>
  </si>
  <si>
    <t>Командир 2 минометного взвода минометной батареи 3 мотострелкового батальона</t>
  </si>
  <si>
    <t>ГАСАНОВ Камиль Яхьяевич</t>
  </si>
  <si>
    <t>аварец</t>
  </si>
  <si>
    <t>отец: Гасанов Яхья Магомедович, мать: Гасанова Патимат Зирарович, жена: Гасанова (Тоцкая) Людмила Владимировна 06.08.1986 г.р., сын: Назар 23.02.2010 г.р., сын: Тимур 18.05.2016 г.р.</t>
  </si>
  <si>
    <t>Адыгея, Майкоп, 12 Марта, вч</t>
  </si>
  <si>
    <t>8-961-064-56-67</t>
  </si>
  <si>
    <t>Командир взвода управления 3 минометной батареи 3 мотострелкового батальона</t>
  </si>
  <si>
    <t>САЗАНОВ Виктор Владимирович</t>
  </si>
  <si>
    <t>Командир гранатометного взвода 3 мотострелкового батальона</t>
  </si>
  <si>
    <t>ДОЛГАНОВ Олег Александрович</t>
  </si>
  <si>
    <t>гор. Котово Волгоградской области</t>
  </si>
  <si>
    <t>мать: Тарасова (Козлова) Ольга Ивановна,  отец: Долганов Александр Владимирович, жена: Долганова (Тряпицина) Виктория Геннадьевна 10.03.1992 г.р. Сын: Родион, 26.09.2019 г.р.</t>
  </si>
  <si>
    <t>Волгоградская, Клетская, Сазонова, 78/2</t>
  </si>
  <si>
    <t>8-977-815-30-74</t>
  </si>
  <si>
    <t>Начальник связи-командир взвода связи 3 мотострелкового батальона</t>
  </si>
  <si>
    <t>Командир взвода - врач медицинского взвода 3 мотострелкового батальона</t>
  </si>
  <si>
    <t>ВАКАНТ (ВЫПУСКНИК РГМУ сентябрь)</t>
  </si>
  <si>
    <t>СР(снайп)</t>
  </si>
  <si>
    <t>Командир стрелковой роты (снайперов)</t>
  </si>
  <si>
    <t>МЕЩЕРЯКОВ Вячеслав Валерьевич</t>
  </si>
  <si>
    <t>Волгоградская область г. Калач-на-Дону</t>
  </si>
  <si>
    <t>Отец: Исаченко Сергей Владимирович
мать: Исаченко Татьяна Григорьевна</t>
  </si>
  <si>
    <t>Саратовская, Саратов, Совхозный 2-й, 5</t>
  </si>
  <si>
    <t>8-988-611-08-71</t>
  </si>
  <si>
    <t>Командир мотострелкового взвода (снайперов, специальный) стрелковой роты (снайперов)</t>
  </si>
  <si>
    <t>ВОЛОСОВЦЕВ Дмитрий Николаевич</t>
  </si>
  <si>
    <t>г. Ташкент Республика Узбекистан</t>
  </si>
  <si>
    <t>жена: Волосовцева (Шепилова) Татьяна Павловна, 17.06.1991 г.р. мать: Удачина Татьяна Анатольевна</t>
  </si>
  <si>
    <t>Липецкая, Липецк, Бардина, 9</t>
  </si>
  <si>
    <t>8-988-399-23-96</t>
  </si>
  <si>
    <t>Командир 1 стрелкового взвода (снайперов) стрелковой роты (снайперов)</t>
  </si>
  <si>
    <t>ПЛОТНИКОВ Александр Александрович</t>
  </si>
  <si>
    <t>мать: Плотникова Ольга Владимировна 1976 г.р., дена: Плотникова (Багаутдинова) Алена Аликовна 31.01.2000 г.р.</t>
  </si>
  <si>
    <t>8-999-165-04-74</t>
  </si>
  <si>
    <t>Командир 2 стрелкового взвода (снайперов) стрелковой роты (снайперов)</t>
  </si>
  <si>
    <t>ДУЛЬБЕЕВ Цырен Александрович</t>
  </si>
  <si>
    <t>с. Нукуты Нукутского района Иркутской области</t>
  </si>
  <si>
    <t>мать: Дульбеева Галина Гармаевна, отец: Дульбеев Александр Васильевич</t>
  </si>
  <si>
    <t>8-996-381-71-39</t>
  </si>
  <si>
    <t>танковые</t>
  </si>
  <si>
    <t>тб</t>
  </si>
  <si>
    <t>Командир танкового батальона</t>
  </si>
  <si>
    <t>АКРАМОВ Виктор Андреевич</t>
  </si>
  <si>
    <t>г. Ленинабад Такжикская ССР</t>
  </si>
  <si>
    <t>отец: Акрамов Андрей Викторович, жена: Акрамова (Мархиль) Ольга Владимировна 07.09.1989 г.р., сын: Артем 31.03.2010 г.р., сын: Александр 26.01.2014 г.р., сын: Ярослав 30.11.2018 г.р.</t>
  </si>
  <si>
    <t>Омская, Омск, Тарская, 261</t>
  </si>
  <si>
    <t>8-999-627-14-19</t>
  </si>
  <si>
    <t>Заместитель командира батальона по вооружению танкового батальона</t>
  </si>
  <si>
    <t>КУБЫШКИН Юрий Владимирович</t>
  </si>
  <si>
    <t>г. Омск</t>
  </si>
  <si>
    <t>отец: Кубышкин Владимир Иванович, мать: Кубышкина Зинаида Васильевна, жена: Мантаусова Ольга Сергеевна 11.11.1978 г.р., дочь: Елизавета 16.01.2002 г.р.</t>
  </si>
  <si>
    <t>8-988-000-78-51
8-937-696-24-75</t>
  </si>
  <si>
    <t>Начальник штаба-заместитель командира танкового батальона</t>
  </si>
  <si>
    <t>КОВАЛЕВ Андрей Николаевич</t>
  </si>
  <si>
    <t>г. Жанатас, Джамбульская область Республика Казахстан</t>
  </si>
  <si>
    <t>отец: Ковалев Николай Иванович, мать: Ковалева Наталья Васильевна, жена: Ковалева Дарья Михайловна 1991 г.р., дочь: Анна 04.08.2009 г.р., дочь: Элина 05.02.2013 г.р., дочь: Виктория 07.12.2015 г.р.</t>
  </si>
  <si>
    <t>Волгоградская, Добринка, 40 лет Победы, 4</t>
  </si>
  <si>
    <t>8-927-252-40-64</t>
  </si>
  <si>
    <t>Заместитель начальника штаба танкового батальона</t>
  </si>
  <si>
    <t>ДРАГУН Петр Геннадьевич</t>
  </si>
  <si>
    <t>п. Увельский Увельского района Челябинской области</t>
  </si>
  <si>
    <t>отец: Драгун Геннадий Владимирович, мать: Драгун Надежда Михайловна, жена: Драгун Ирина Викторовна 22.02.1984 г.р., дочь: Ксения 01.01.2009 г.р.</t>
  </si>
  <si>
    <t>Новосибирская, Ярково, ДОС, общ</t>
  </si>
  <si>
    <t>8-913-208-11-63
8-987-647-43-36</t>
  </si>
  <si>
    <t>Командир 1 танковой роты танкового батальона</t>
  </si>
  <si>
    <t>СЕМИЛЕТОВ Евгений Викторович</t>
  </si>
  <si>
    <t>г.Калинино Калиниского района Армянской ССР</t>
  </si>
  <si>
    <t>отец: Семилетов Виктор Васильевич, мать: Семилетова Вера Ивановна, жена: Семилетова (Неродова) Юлия Александровна 21.05.1992 г.р., дочь: Каролина 27.02.2018 г.р., дочь: Ангелина 02.10.2009 г.р.</t>
  </si>
  <si>
    <t>Ставропольский, Изобильный, Суворова, 30</t>
  </si>
  <si>
    <t>8-918-115-73-32</t>
  </si>
  <si>
    <t>Заместитель командира роты по вооружению 1 танковой роты танкового батальона</t>
  </si>
  <si>
    <t>ФЕДОРЕНКО Антон Николаевич</t>
  </si>
  <si>
    <t>с. Шортанды Шортандинского района Акмолинской области</t>
  </si>
  <si>
    <t>мать: Федоренко Марина Васильевна, отец: Федоренко Николац Николаевич</t>
  </si>
  <si>
    <t>Омская, Бологое, Целинная, 3</t>
  </si>
  <si>
    <t>8-900-679-02-98</t>
  </si>
  <si>
    <t>Командир 1 танкового взвода 1 танковой роты танкового батальона</t>
  </si>
  <si>
    <t>Командир 2 танкового взвода 1 танковой роты танкового батальона</t>
  </si>
  <si>
    <t>ВАКАНТ (ВЫПУСКНИК КВТКУ)</t>
  </si>
  <si>
    <t>Командир 3 танкового взвода 1 танковой роты танкового батальона</t>
  </si>
  <si>
    <t>ШМАКОВ Сергей Александрович</t>
  </si>
  <si>
    <t>отец: Шмаков Александр Станиславович, мать: Шмакова Людмила Анатольевна, жена: Шмакова (Рожкова) Ирина Васильевна 08.05.1987 г.р., дочь: Маргарита 23.01.2009 г.р., дочь: Мелисса 03.10.2012 г.р., сын: Артем 03.10.2012 г.р.</t>
  </si>
  <si>
    <t>Волгоградская, Волгоград, им маршала Воронова, 8</t>
  </si>
  <si>
    <t>8-927-062-32-70</t>
  </si>
  <si>
    <t>Командир 2 танковой роты танкового батальона</t>
  </si>
  <si>
    <t>ЗВЕРЕВ Иван Алексеевич</t>
  </si>
  <si>
    <t>р/пос Пижма Тоншаевского р-на Нижегородской области</t>
  </si>
  <si>
    <t>мать: Зверева Ирина Анатольевна, отец: Зверев Андрей Владимирович</t>
  </si>
  <si>
    <t>Нижегородская, Пижма, Жданова, 3</t>
  </si>
  <si>
    <t>8-965-595-18-79
8-961-672-08-83</t>
  </si>
  <si>
    <t>Заместитель командира роты по вооружению 2 танковой роты танкового батальона</t>
  </si>
  <si>
    <t>ГЕНЕРАЛОВ Александр Сергеевич</t>
  </si>
  <si>
    <t>мать: Долженко Ольга Анатольевна, отец: Генералов Сергей Павлович, жена: Генералова (Кушнерова) Нина Леонидовна 02.08.1990 г.р., сын: Алексей 09.12.2012 г.р.</t>
  </si>
  <si>
    <t>Волгоградская, Волгоград, Горьковский, Волгоградская, 1/6</t>
  </si>
  <si>
    <t>8-962-761-79-49</t>
  </si>
  <si>
    <t>Командир 1 танкового взвода 2 танковой роты танкового батальона</t>
  </si>
  <si>
    <t xml:space="preserve">ОМЕЛЬЧЕНКО Даниил Иванович </t>
  </si>
  <si>
    <t>ст-ца Тбилисская, Тбилисский р-н, Краснодарский край</t>
  </si>
  <si>
    <t>Отец: Омельченко Иван Николаевич
Мать: Омельченко Ирина Владимировна</t>
  </si>
  <si>
    <t>Краснодарский, Ванновское, Пролетарская, 107А</t>
  </si>
  <si>
    <t>8-989-293-91-69</t>
  </si>
  <si>
    <t>Командир 2 танкового взвода 2 танковой роты танкового батальона</t>
  </si>
  <si>
    <t>САИТОВ Роман Марселович</t>
  </si>
  <si>
    <t>г. Туймазы Республики Башкортостан</t>
  </si>
  <si>
    <t>мать: Саитова Маргарита Григорьевна, отец: Саитов Марсель Муллагалиевич, жена: Свитова (Астафьева) Ангелина Николаевна 14.09.1994 г.р.</t>
  </si>
  <si>
    <t>8-903-340-13-09</t>
  </si>
  <si>
    <t>Командир 3 танкового взвода 2 танковой роты танкового батальона</t>
  </si>
  <si>
    <t>ВАЛИТОВ Ринис Гайнанович</t>
  </si>
  <si>
    <t>с. Шарлык Шарлыкского р-на Оренбургской области</t>
  </si>
  <si>
    <t>мать: Валитова Зульфия Фасиховна, 04.08.1960 г.р.
отец: Валитов Гайнан Мигранович, 26.10.1959 г.р.</t>
  </si>
  <si>
    <t>8-999-157-34-53</t>
  </si>
  <si>
    <t>Командир 3 танковой роты танкового батальона</t>
  </si>
  <si>
    <t>КОРСАКОВ Михаил Николаевич</t>
  </si>
  <si>
    <t>г. Ереван Р. Армения</t>
  </si>
  <si>
    <t>отец: Корсаков Николай Александрович, мать: Лактионова Марина Федоровна, жена: Корсакова (Поплутина) Анна Александровна 1986 г.р., сын: Вячеслав 22.01.2011 г.р., сын: Артем 18.02.2018 г.р.</t>
  </si>
  <si>
    <t>Волгоградская, Волгоград, Волгоградская (М.Горького), 1/1</t>
  </si>
  <si>
    <t>8-902-651-29-23</t>
  </si>
  <si>
    <t>Заместитель командира роты по вооружению 3 танковой роты танкового батальона</t>
  </si>
  <si>
    <t>КАНЫГИН Николай Геннадьевич</t>
  </si>
  <si>
    <t>г. Исилькуль Омской области</t>
  </si>
  <si>
    <t>жена: Каныгина ( Дудко) Юлия Сергеевна, 23.05.1996 г.р.
Дочь: Каныгина Ульяна Николаевна, 15.06.2018 г.р.</t>
  </si>
  <si>
    <t>Омская, Исилькуль, Северная 2-я, 25</t>
  </si>
  <si>
    <t>8-999-456-50-89</t>
  </si>
  <si>
    <t>Командир 1 танкового взвода 3 танковой роты танкового батальона</t>
  </si>
  <si>
    <t>Командир 2 танкового взвода 3 танковой роты танкового батальона</t>
  </si>
  <si>
    <t>Командир 3 танкового взвода 3 танковой роты танкового батальона</t>
  </si>
  <si>
    <t>БОГДАНОВ Александр Васильевич</t>
  </si>
  <si>
    <t>отец: Богданов Василий Федорович 1958 г.р., мать: Богданова Вера Алексеевна 1958 г.р., жена: Богданова (Бамалаева) Марина Сергеевна 13.09.1984 г.р., дочь: Ксения 07.02.2018 г.р.</t>
  </si>
  <si>
    <t>Волгоградская, Волгоград, Шекснинская, 24</t>
  </si>
  <si>
    <t>8-937-501-35-15</t>
  </si>
  <si>
    <t>Начальник связи-командир взвода связи танкового батальона</t>
  </si>
  <si>
    <t>ГАДЖИЕВ Камиль Курбанович</t>
  </si>
  <si>
    <t>Ростовская обл. Ремонтненский район с. Ремонтное</t>
  </si>
  <si>
    <t>даргинец</t>
  </si>
  <si>
    <t>отец: Гаджиев Курбан Омарович, мать: Ханцуева Патимат Гаджиевна</t>
  </si>
  <si>
    <t>Ростовская, Аксай, Садовая, 22</t>
  </si>
  <si>
    <t>8-999-698-80-05</t>
  </si>
  <si>
    <t>ГСАДн</t>
  </si>
  <si>
    <t>Командир гаубичного самоходно-артиллерийского дивизиона</t>
  </si>
  <si>
    <t>КОШКИН Дмитрий Витальевич</t>
  </si>
  <si>
    <t>пос. Советский Советского района Республики Марий Эл</t>
  </si>
  <si>
    <t xml:space="preserve">жена: Кошкина (Гулина) Марина Валерьевна 28.01.1987 г.р.,
 сын: Артем 29.01.2009 г.р.
 Сын: Станислав, 28.01.2015 г.р., 
сын: Максим, 24.12.2019 г.р. 
отец: Кошкин Виталий Степанович,
 мать: Кошкина Алевтина Николаевна, </t>
  </si>
  <si>
    <t>8-937-697-73-77</t>
  </si>
  <si>
    <t>Заместитель командира дивизиона по вооружению гаубичного самоходно-артиллерийского дивизиона</t>
  </si>
  <si>
    <t>МАЛАНИН В.В.</t>
  </si>
  <si>
    <t>Начальник штаба-заместитель командира гаубичного самоходно-артиллерийского дивизиона</t>
  </si>
  <si>
    <t>КИЛОВ Алик Газимьярович</t>
  </si>
  <si>
    <t>д. Абзак Налимского р-на респ. Башкортостан</t>
  </si>
  <si>
    <t>мать: Килова Зиля Ямировна, жена: Килова Лилия Асгатовна 20.05.1987 г.р., дочь: Аналия 07.06.2011 г.р., дочь: Юлиана 07.06.2011 г.р.</t>
  </si>
  <si>
    <t>8-930-750-04-56</t>
  </si>
  <si>
    <t>Начальник разведки гаубичного самоходно-артиллерийского дивизиона</t>
  </si>
  <si>
    <t>Командир 1 гаубичной самоходно-артиллерийской батареи гаубичного самоходно-артиллерийского дивизиона</t>
  </si>
  <si>
    <t>ХУДЯКОВ Денис Михайлович</t>
  </si>
  <si>
    <t>с. Лебяжья Поляна Среднеахтубинского района Волгоградской области</t>
  </si>
  <si>
    <t>отец: Худяков Михаил Васильевич, мать: Худякова (Вуец) Ольга Мирославна, жена: Худякова Галина Владимировна 1979 г.р., сын: Леонид 01.09.2005 г.р., дочь: Мария 28.01.2016 г.р.</t>
  </si>
  <si>
    <t>Волгоградская, Лебяжья Поляна, Весенняя, 1</t>
  </si>
  <si>
    <t>8-905-061-63-80</t>
  </si>
  <si>
    <t>Командир взвода-старший офицер на батарее 1 гаубичного самоходно-артиллерийского взвода 1 гаубичной самоходно-артиллерийской батареи гаубичного самоходно-артиллерийского дивизиона</t>
  </si>
  <si>
    <t>Командир 2 гаубичного самоходно-артиллерийского взвода  1 гаубичной самоходно-артиллерийской батареи гаубичного самоходно-артиллерийского дивизиона</t>
  </si>
  <si>
    <t>ДЖУМАГАЗИЕВ Руслан Александрович</t>
  </si>
  <si>
    <t>с. Царев Ленинского района Волгоградской области</t>
  </si>
  <si>
    <t>отец: Джумагазиев Александр Николаевич, мать: Джумагазиева (Джубанаева) Сати Рашидовна, жена: Джумагазиева (Мырзагалиева) Алина Майсутовна 1995 г.р.
Сын: Джумагазиев Тагир Русланович, 16.01.2019 г.р.</t>
  </si>
  <si>
    <t>Волгоградская, Волгоград, 64 Армии, 135</t>
  </si>
  <si>
    <t>8-937-542-85-52</t>
  </si>
  <si>
    <t>Командир взвода управления 1 гаубичной самоходно-артиллерийской батареи гаубичного самоходно-артиллерийского дивизиона</t>
  </si>
  <si>
    <t>КУЗНЕЦОВ Александр Андреевич</t>
  </si>
  <si>
    <t>дер. Чуниково Бабаевского р-на Вологодской обл.</t>
  </si>
  <si>
    <t>жена: Кузнецова (Синельникова) Олеся Эдуардовна, 20.11.1993 г.р.
Отец: Кузнецов Андрей Николаевич (умер 05.01.2019 г.)
мать Кузнецова (Березина) Любовь Алексеевна, 09.11.1967 г.р.</t>
  </si>
  <si>
    <t>Вологодская, Чуниково, 12</t>
  </si>
  <si>
    <t>8-999-531-36-92</t>
  </si>
  <si>
    <t>Командир 2 гаубичной самоходно-артиллерийской батареи гаубичного самоходно-артиллерийского дивизиона</t>
  </si>
  <si>
    <t>ДАВЫДОВ Дмитрий Николаевич</t>
  </si>
  <si>
    <t>гор. Фролово Волгоградской обл.</t>
  </si>
  <si>
    <t>отец: Давыдов Николай Николаевич, 02.07.1967 г.р.
Мать: Давыдова (Ефимова) Надежда Петровна, 05.02.1970 г.р.</t>
  </si>
  <si>
    <t>Волгоградская обл., гор. Фролово, ул. Международная, д. 41</t>
  </si>
  <si>
    <t>8-999-629-03-79</t>
  </si>
  <si>
    <t>Командир взвода – старший офицер на батарее 1 гаубичного самоходно-артиллерийского взвода 2 гаубичной самоходно-артиллерийской батарее гаубичного самоходно-артиллерийского дивизиона</t>
  </si>
  <si>
    <t>Командир 2 гаубичного самоходно-артиллерийского взвода 2 гаубичной самоходно-артиллерийской батареи гаубичного самоходно-артиллерийского дивизиона</t>
  </si>
  <si>
    <t>ХРАПОВ Владислав Олегович</t>
  </si>
  <si>
    <t>гор. Тольятти Самарская обл.</t>
  </si>
  <si>
    <t>отец: Храпов Олег Васильевич, мать: Храпова Ирина Викторовна,жена: Храпова (Леонтьева) Екатерина Алексеевна 23.06.1994</t>
  </si>
  <si>
    <t>Самарская, Тольятти, Приморский, 14</t>
  </si>
  <si>
    <t>8-909-364-26-50</t>
  </si>
  <si>
    <t>Командир взвода управления 2 гаубичной самоходно-артиллерийской батареи гаубичного самоходно-артиллерийского дивизиона</t>
  </si>
  <si>
    <t>Командир 3 гаубичной самоходно-артиллерийской батареи гаубичного самоходно-артиллерийского дивизиона</t>
  </si>
  <si>
    <t>КУЗЬМЕНКО Евгений Александрович</t>
  </si>
  <si>
    <t>Ростовская область, Куйбышевский район с. Куйбышево</t>
  </si>
  <si>
    <t>мать: Кузьменко Наталья Петровна, жена: Казакова Алина Константиновна, 29.04.1983 г.р., сын: Гордей 07.03.2015 г.р., дочь: Вероника 12.11.2013 г.р.</t>
  </si>
  <si>
    <t>Ростовская, Куйбышево, Колхозная, 29</t>
  </si>
  <si>
    <t>Командир взвода-старший офицер на батарее 1 гаубичного самоходно-артиллерийского взвода 3 гаубичной самоходно-артиллерийской батареи гаубичного самоходно-артиллерийского дивизиона</t>
  </si>
  <si>
    <t>Командир 2 гаубичного самоходно-артиллерийского взвода 3 гаубичной самоходно-артиллерийской батареи гаубичного самоходно-артиллерийского дивизиона</t>
  </si>
  <si>
    <t>КОМАРОВ Алексей Андреевич</t>
  </si>
  <si>
    <t>отец:  Комаров Андрей Геннадьевич, 09.10.1969 г.р.
Мать Комарова (Финягина) Елена Александровна, 05.08.1972 г.р.</t>
  </si>
  <si>
    <t>Пензенская, Сердобск, Энергетиков, 11</t>
  </si>
  <si>
    <t>8-911-136-18-04</t>
  </si>
  <si>
    <t>Командир взвода управления 3 гаубичной самоходно артиллерийской  батареи гаубичного самоходно-артиллерийского дивизиона</t>
  </si>
  <si>
    <t>Начальник связи-командир взвода управления гаубичного самоходно-артиллерийского дивизиона</t>
  </si>
  <si>
    <t>РЕАБатр</t>
  </si>
  <si>
    <t>Командир реактивной артиллерийской батареи</t>
  </si>
  <si>
    <t>ЕФИМОВ Владимир Владимирович</t>
  </si>
  <si>
    <t>г. Саратов</t>
  </si>
  <si>
    <t>мать: Ефимова Антонина Ивановна, жена: Ефимова (Устоянцева) Ирина Германовна, дочь: Арина 30.12.2006 г.р.</t>
  </si>
  <si>
    <t>Саратовская, Саратов, им Посадского, 248</t>
  </si>
  <si>
    <t>8-937-692-90-03</t>
  </si>
  <si>
    <t>Командир взвода-старший офицер на батарее 1 реактивного артиллерийского взвода реактивной артиллерийской батареи</t>
  </si>
  <si>
    <t>МАЛИНОВСКИЙ Алексей Викторович</t>
  </si>
  <si>
    <t>гор. Иваново</t>
  </si>
  <si>
    <t>Мать: Малиновская (мальцева) Ольга Станиславовна, 13.11.1965 г.р.
Отец: Малиновский Виктор Альбертович, 22.11.1966 г.р.</t>
  </si>
  <si>
    <t>Ивановская, Иваново, Кудряшова, 94</t>
  </si>
  <si>
    <t>8-964-368-05-68</t>
  </si>
  <si>
    <t>Командир 2 реактивного артиллерийского взвода реактивной артиллерийской батареи</t>
  </si>
  <si>
    <t>Командир взвода управления артиллерийской батареи</t>
  </si>
  <si>
    <t>КУЗНЕЦОВ Игорь Олегович</t>
  </si>
  <si>
    <t>г. Веймар Германия</t>
  </si>
  <si>
    <t>жена: Кузнецова (Шестакова) Мария Олеговна, 12.09.1992 г.р.
мать: Кузнецова Румия Хамзядиновна, отец: Кузнецов Олег Эрманович,</t>
  </si>
  <si>
    <t>Волгоградская, Краснослободск, Олега Кошевого, 14</t>
  </si>
  <si>
    <t>8-905-394-40-05</t>
  </si>
  <si>
    <t>ЗРБ</t>
  </si>
  <si>
    <t>Командир зенитной ракетной батареи</t>
  </si>
  <si>
    <t>РЯБЧИКОВ Сергей Петрович</t>
  </si>
  <si>
    <t>г. Смоленск</t>
  </si>
  <si>
    <t>отец: Рябчиков Петр Андреевич 1952 г.р., мать: Рябчикова Валентина Сергеевна 1953 г.р., жена Зыкова Татьяна Сергеевна 03.07.1986 г.р., дочь: Эвелина 23.02.2016 г.р.</t>
  </si>
  <si>
    <t>Смоленская, Смоленск, Котовского, 2</t>
  </si>
  <si>
    <t>8-906-173-66-54</t>
  </si>
  <si>
    <t>Командир 1 зенитного ракетного взвода зенитной ракетной батареи</t>
  </si>
  <si>
    <t>КОРМАНОВСКИЙ Юрий Валериевич</t>
  </si>
  <si>
    <t>п. Таманский Темрюкского района Краснодарского края</t>
  </si>
  <si>
    <t xml:space="preserve">жена: Кормановская (Попова) Анастасия Александровна 18.08.1998 г.р.
Сын: Кормановский Давид, Юрьевич, 17.03.2020 г.р.
отец: Кормановский Валерий Геннадьевич 05.02.1969 г.р., мать: Кормановския Наталья Викторовна 05.12.1976 г.р., </t>
  </si>
  <si>
    <t>Краснодарский, Ейск, Береговой, Учебная, 10</t>
  </si>
  <si>
    <t>8-903-891-83-37</t>
  </si>
  <si>
    <t>Командир 2 зенитного ракетного взвода зенитной ракетной батареи</t>
  </si>
  <si>
    <t>БОНДАРЕНКО Дмитрий Сергеевич</t>
  </si>
  <si>
    <t>жена: Бондаренко Елена Геннадиевна, 19.12.1993 г.р., отчим: Малянов Дмитрий Константинович, 08.03.1969 г.р.</t>
  </si>
  <si>
    <t>Волгоградская, Волгоград, 26 Бакинских комиссаров, 2А</t>
  </si>
  <si>
    <t>8-919-541-48-76</t>
  </si>
  <si>
    <t>Командир 3 зенитного ракетного взвода зенитной ракетной батареи</t>
  </si>
  <si>
    <t>САГИРОВ Рустам Маратович</t>
  </si>
  <si>
    <t>дочь: Сагирова Милана Рустамовна, 29.03.14 г.р., мать: Сагирова Эльвира Никифовна, 15.04.1971 г.р., отец: Сагиров Марат Касымович</t>
  </si>
  <si>
    <t>Волгоградская, Волгоград, 95 Гвардейской, 5</t>
  </si>
  <si>
    <t>8-988-023-54-49</t>
  </si>
  <si>
    <t>Командир 4 зенитного ракетного взвода зенитной ракетной батареи</t>
  </si>
  <si>
    <t>СУАНОВ Георгий Маирбекович</t>
  </si>
  <si>
    <t>г. Беслан, Правобережного района, респ. Свереная Осетия- Алания</t>
  </si>
  <si>
    <t>осетин</t>
  </si>
  <si>
    <t>отец: Суанов Маибек Георгиевич, мать: Суанова (Биганова) Зарета Савельевна</t>
  </si>
  <si>
    <t>Северная Осетия, Став-Дурт, Таболова, 26</t>
  </si>
  <si>
    <t>8-988-832-33-26</t>
  </si>
  <si>
    <t>Разв.р</t>
  </si>
  <si>
    <t>Командир разведывательной роты</t>
  </si>
  <si>
    <t>МЕРКУЛОВ Валентин Владимирович</t>
  </si>
  <si>
    <t>г. Элиста Республики Калмыкия</t>
  </si>
  <si>
    <t>мать: Меркулова Марина Васильевна, отец: Меркулов Владимир Владимирович, жена: Меркулова (Хоришман) Екатерина Вычеславовна 27.03.1997 г.р. Сын: Лев, 24.04.2019 г.р.; Дочь: Виктория, 23.09.2020 г.р.</t>
  </si>
  <si>
    <t>8-923-246-43-70</t>
  </si>
  <si>
    <t xml:space="preserve">Командир 1 разведывательного взвода разведывательной роты </t>
  </si>
  <si>
    <t>ИСРАЕЛЯН Юрий Юрьевич</t>
  </si>
  <si>
    <t>маить: Исраелян Фатима Магомедовна, отец: Исраелян Юрий Бабкенович, жена: Исраелян (Оганнисян) Седа Сергеевич 01.01.1994 г.р.</t>
  </si>
  <si>
    <t>Волгоградская, Волгоград, 39 Гвардейской, 29</t>
  </si>
  <si>
    <t>8-937-740-88-83</t>
  </si>
  <si>
    <t>Командир 2 разведывательного взвода разведывательной роты</t>
  </si>
  <si>
    <t>Командир 3 разведывательного взвода разведывательной роты</t>
  </si>
  <si>
    <t>ИСР</t>
  </si>
  <si>
    <t>Командир инженерно-саперной роты</t>
  </si>
  <si>
    <t>ТЕТЕРИН Дмитрий Александрович</t>
  </si>
  <si>
    <t>с. Нижняя Омка Нижегородского района Омской области</t>
  </si>
  <si>
    <t>отец: Тетерин Александр Васильевич, мать: Тетерина (Ермакова) Светлана Владимировна, жена: Тетерина (Юдина) Дарья Евгеньевна 24.07.1995 г.р. Дочь: Вера 29.09.2017 г.р.</t>
  </si>
  <si>
    <t>Омская, Омск, Жуковского, 33/3</t>
  </si>
  <si>
    <t>8-999-548-28-55</t>
  </si>
  <si>
    <t>Командир 1 инженерно-саперного взвода инженерно-саперной роты</t>
  </si>
  <si>
    <t>КОНОНЕНКО Артем Игоревич</t>
  </si>
  <si>
    <t>г. Саки Республика Крым</t>
  </si>
  <si>
    <t>украинец</t>
  </si>
  <si>
    <t>мать: Кононенко (Тищенко) Любовь Семеновна
отец: Кононенко Игорь Александрович
жена: Кононенко (Бочарникова) Александра Юрьевна 10.11.1991 г.р., 
дочь: Арина 18.05.2015 г.р.</t>
  </si>
  <si>
    <t>Крым, Саки, Кузнецова, 14/28</t>
  </si>
  <si>
    <t>8-919-945-19-57</t>
  </si>
  <si>
    <t>Командир взвода инженерных заграждений инженерно-саперной роты</t>
  </si>
  <si>
    <t>ДЕМЯНЕНКО Вадим Викторович</t>
  </si>
  <si>
    <t>с. Покровка Октябрьского района Амурской области</t>
  </si>
  <si>
    <t>мать: Демяненко Наталья Николаевна, 1960 г.р.
Жена Демяненко (Шихова) Зинаида Юрьевна, 08.10.1980 г.р.</t>
  </si>
  <si>
    <t>Амурская, Екатеринославка, Южная, 57</t>
  </si>
  <si>
    <t>8-914-389-47-73</t>
  </si>
  <si>
    <t xml:space="preserve">КОШАРНОВ Сергей Александрович </t>
  </si>
  <si>
    <t>п. Межозерный Верхнеуральского района Челябинской обл.</t>
  </si>
  <si>
    <t>жена: Кошарнова (Богатырева) Екатерина Сергеевна, 03.02.1996 г.р.;
сын: Михаил, 30.11.2019 г.р.;
мать: Горбатова (Мазавина) Марина Евгеньевна, 12.10.1978 г.р.;
отец: Кошарнов Александр Борисович, 05.01.1978 г.р.</t>
  </si>
  <si>
    <t>Челябинская, Межозерный, Ленина, 19</t>
  </si>
  <si>
    <t>8-919-362-90-24</t>
  </si>
  <si>
    <t>Вз.РХБЗ</t>
  </si>
  <si>
    <t xml:space="preserve">Командир взвода радиационной, химической и биологической защиты </t>
  </si>
  <si>
    <t xml:space="preserve">ЯКОВЕНКО Николай Олегович </t>
  </si>
  <si>
    <t>гор. Пятигорск Ставропольского края</t>
  </si>
  <si>
    <t>отец: Яковенко Олег Викторович, 02.02.1975 г.р.
Мать: Яковенко (зыбина) Людмила Ивановна, 12.03.1975 г.р.</t>
  </si>
  <si>
    <t>Ставропольский, Юца, Школьная, 27</t>
  </si>
  <si>
    <t>8-923-134-88-42</t>
  </si>
  <si>
    <t>РУ</t>
  </si>
  <si>
    <t>Командир роты управления</t>
  </si>
  <si>
    <t>ДЕМЬЯНОВ Юрий Артурович</t>
  </si>
  <si>
    <t>г. Железноводск Ставропольского края</t>
  </si>
  <si>
    <t>отец: Демьянов Артур Бакбенович, мать: Демьянова Людмила Витальевна, жена: Демьянов (Копытова) Мария Николаевна 30.11.1990 гр.р., дочь: Юлия 14.03.2017 г.р.</t>
  </si>
  <si>
    <t>Ставропольский, Пятигорск, Нежнова, 73</t>
  </si>
  <si>
    <t>8-937-087-51-69</t>
  </si>
  <si>
    <t>Заместитель командира роты по военно-политической работе роты управления</t>
  </si>
  <si>
    <t>Командир взвода- начальник станции взвода управления (командного пункта) роты управления</t>
  </si>
  <si>
    <t>Командир взвода управления (передового командного пункта) роту правления</t>
  </si>
  <si>
    <t>ВЗВ.ВП</t>
  </si>
  <si>
    <t>Командир взвода военной полиции</t>
  </si>
  <si>
    <t>ВУ (НА)</t>
  </si>
  <si>
    <t>Командир взвода управления (начальника артиллерии)</t>
  </si>
  <si>
    <t>ГАДЖИЕВ Тимур Гаджиевич</t>
  </si>
  <si>
    <t>азербейджанец</t>
  </si>
  <si>
    <t>жена: Гаджиева (Эминова) Саадат Мехман Кызы, 07.08.1998 г.р.
отец: Гаджиев Гаджи Ханлар оглы
мать: Гаджиева ( Мехралиева) Сумая Авез кызы</t>
  </si>
  <si>
    <t>Волгоградская, Волгоград, им Землячки, 30</t>
  </si>
  <si>
    <t>Рем.р</t>
  </si>
  <si>
    <t>Командир ремонтной роты</t>
  </si>
  <si>
    <t>ТИХОМИРОВ Илья Андреевич</t>
  </si>
  <si>
    <t>мать: Тихомирова Ольга Александровна 1973 г отец: Тихомиров Андрей Владимирович 1960 г.р.</t>
  </si>
  <si>
    <t>Хабаровский край, г. Хабаровск, пер. Отрадный, д. 5а</t>
  </si>
  <si>
    <t>8-914-565-23-67</t>
  </si>
  <si>
    <t>Заместитель командира ремонтной роты</t>
  </si>
  <si>
    <t>РМО</t>
  </si>
  <si>
    <t>Командир роты материального обеспечения</t>
  </si>
  <si>
    <t>КОРЕНЬКОВ Руслан Владимирович</t>
  </si>
  <si>
    <t>г. Красноярск</t>
  </si>
  <si>
    <t>отец: Кореньков Владимир Анатольевич, мать: Коренькова Ирина Дударовна,  дочь: Владислава 06.09.2012 г.р., дочь: София 20.10.2014 г.р., дочь: Алана, 06.01.2020 г.р.</t>
  </si>
  <si>
    <t>8-927-259-57-47</t>
  </si>
  <si>
    <t>Заместитель командира роты по военно-политической работе роты материального обеспечения</t>
  </si>
  <si>
    <t>МЕД.Р</t>
  </si>
  <si>
    <t>Командир роты – врач медицинской роты (развертывает 50 коек)</t>
  </si>
  <si>
    <t>ЩЕРБАКОВ Иван Сергеевич</t>
  </si>
  <si>
    <t>п. Лебяжья Поляна Среднеахтубинского района Волгоградской области</t>
  </si>
  <si>
    <t>отец: Щербаков Сергей Петрович, мать: Щербакова Татьяна Ивановна, жена: Щербакова (Белякова) Наталия Андреевна 12.05.1987 г.р., сын: Иван 18.11.2016 г.р.</t>
  </si>
  <si>
    <t>Волгоградская, Волгоград, Шекснинская, 46</t>
  </si>
  <si>
    <t>8-937-738-55-88
8-903-467-27-92</t>
  </si>
  <si>
    <t xml:space="preserve">Командир взвода-начальник отделения приемно-сортировочного взвода медицинской роты (развертывает 50 коек) </t>
  </si>
  <si>
    <t>ПЕТРОВ Павел Рудольфович</t>
  </si>
  <si>
    <t>г. Новочебоксарск Чувашской Республики</t>
  </si>
  <si>
    <t>Отец: Петров Рудольф Павлович (погиб в 2015 г.), Мать: Цветкова (Раева) Наталья Вениаминовна 09.09.1963 г.р., жена: Петрова Екатерина Юрьевна 25.03.1996</t>
  </si>
  <si>
    <t>Чувашия, Новочебоксарск, 10 Пятилетки, 32</t>
  </si>
  <si>
    <t>8-921-385-97-86</t>
  </si>
  <si>
    <t xml:space="preserve">Командир взвода - начальник отделения операционно-перевязочного взвода медицинской роты (развертывает 50 коек) </t>
  </si>
  <si>
    <t xml:space="preserve">СУРХАЕВ Александр Артурович </t>
  </si>
  <si>
    <t>г. Моздок Республика Северная Осетия</t>
  </si>
  <si>
    <t>отец: Сурхаев Артур Владимирович, 20.03.1964 г.р.
Мать: Сурхаева Виктория Артуровна, 12.02.1967 г.р.</t>
  </si>
  <si>
    <t>Северная Осетия, Моздок, Кирова, 25</t>
  </si>
  <si>
    <t>8-931-969-92-73</t>
  </si>
  <si>
    <t>Начальник отделения анестезиологии-реанимации операционно-перевязочного взвода медицинской роты (развертывает 50 коек)</t>
  </si>
  <si>
    <t>ЧИБАРЧИКОВ Дамир Маратович</t>
  </si>
  <si>
    <t>с. Ильинка Кувандыкского района Оренбургской области</t>
  </si>
  <si>
    <t>мать: Чибарчикова Марина Жаксалыковна, 04.11.1969 г.р.
Отец: Чибарчиков Марат Рашидович, 07.09.1969 г.р.</t>
  </si>
  <si>
    <t>Оренбургская, Ильинка, Новая, 34</t>
  </si>
  <si>
    <t>8-986-791-19-83</t>
  </si>
  <si>
    <t>Командир взвода-начальник отделения госпитального взвода медицинской роты (развертывает 50 коек)</t>
  </si>
  <si>
    <t>СОРОКИН Александр Сергеевич</t>
  </si>
  <si>
    <t>г. Михайловка Волгоградская область</t>
  </si>
  <si>
    <t>Жена: Сорокина Людмила Николаевна, 10.04.1983 г.р., Отец: Сорокин Сергей Владимирович, 1957 г.р., Мать: Сорокина Вера Даниловна, 1957 г.р.</t>
  </si>
  <si>
    <t>Волгоградская, Городище, Нефтяников, 13</t>
  </si>
  <si>
    <t>8-961-083-80-12</t>
  </si>
  <si>
    <t>Врач госпитального отделения госпитального взвода медицинской роты (развертывает 50 коек)</t>
  </si>
  <si>
    <t xml:space="preserve">ЗЯБРЕВА Анастасия Валерьевна </t>
  </si>
  <si>
    <t>гор. Вытерга Вологодской обл.</t>
  </si>
  <si>
    <t>русская</t>
  </si>
  <si>
    <t>не жамужем</t>
  </si>
  <si>
    <t>отец: Зябрев Валерий Николаевич, 08.01.1965 г.р.
мать: Зябрева (Филькова) Галина Геннадьевна, 20.11.1966 г.р.</t>
  </si>
  <si>
    <t>Вологодская, Вытегра, Советский, 70А</t>
  </si>
  <si>
    <t>8-981-872-97-49</t>
  </si>
  <si>
    <t>ПОЛЯКОВ Сергей Иванович</t>
  </si>
  <si>
    <t xml:space="preserve">х. Богданов Каменского района Ростовская обл. </t>
  </si>
  <si>
    <t xml:space="preserve">жена: Полякова (Скоробогатова) Кристина Евгеньевна 1995 г.р. отец: Заикин Иван Анатольевич 1971 г.р., мать: Полякова Людмила Анатольевна 1976 г.р, </t>
  </si>
  <si>
    <t>Ростовская, Богданов, Молодежная, 23</t>
  </si>
  <si>
    <t>8-906-414-80-99</t>
  </si>
  <si>
    <t>Начальник стоматологического кабинета медицинской роты (развертывает 50 коек)</t>
  </si>
  <si>
    <t>МОИСЕЕВ Денис Игоревич</t>
  </si>
  <si>
    <t>пос. Первомайский Тамбовской обл.</t>
  </si>
  <si>
    <t>Отец: Моисеев Игорь Дмитриевич 19.06.1960 г.р., Мать: Моисеева Людмила Викторовна 11.03.1965 г.р.</t>
  </si>
  <si>
    <t>Московская, г. Люберцы, пр-кт Победы, 16к3</t>
  </si>
  <si>
    <t>8-960-658-84-06</t>
  </si>
  <si>
    <t xml:space="preserve">Командир взвода-начальник отделения санитарно-эпидемиологического взвода медицинской роты (развертывает 50 коек) </t>
  </si>
  <si>
    <t xml:space="preserve">БОНДАРЕНКО Павел Сергеевич </t>
  </si>
  <si>
    <t>с. Доброе Симферопольского р-на Авт. Респ. Крым, Украина</t>
  </si>
  <si>
    <t>Отец: Бондаренко Сергей Леонидович, 30.06.1968 г.р.
Мать: Бондаренко (Овчаренко) Татьяна Викторовна, 01.08.1962 г.р.</t>
  </si>
  <si>
    <t>Крым, Доброе, Комсомольская, 5</t>
  </si>
  <si>
    <t>8-911-224-80-56</t>
  </si>
  <si>
    <t>Начальник отделения медицинского снабжения медицинской роты (развертывает 50 коек)</t>
  </si>
  <si>
    <t>ВОЛЖЕНИН Игорь Евгеньевич</t>
  </si>
  <si>
    <t>г. Калининград</t>
  </si>
  <si>
    <t>отец: Волженин Евгений Николаевич, мать: Волженина Ирина Валерьевна</t>
  </si>
  <si>
    <t>Калининградская, Невское, Клубная, 4</t>
  </si>
  <si>
    <t>8-981-689-85-77</t>
  </si>
  <si>
    <t>ОРКЕСТР</t>
  </si>
  <si>
    <t>Начальник военного оркестра</t>
  </si>
  <si>
    <t>НИКИТЧИН Анатолий Викторович</t>
  </si>
  <si>
    <t>пгт. Барановка, Житомирская обл., Респ. Украина</t>
  </si>
  <si>
    <t>отец: Никитчин Виктор Анатольевич, мать: Никитчина Анна Ивановна, жена: Никитчина Оксана Борисовна, дочь: Софья 11.12.2003, сын Борис Дмитриевич 25.04.96 г.р.</t>
  </si>
  <si>
    <t>Московская, Подольск, 65-летия Победы, 1</t>
  </si>
  <si>
    <t>8-919-794-94-22</t>
  </si>
  <si>
    <t>Военный дирижер военного оркестра</t>
  </si>
  <si>
    <t>СЕРГОВАНЦЕВ Виталий Юрьевич</t>
  </si>
  <si>
    <t>г. Морозовск Ростовской области</t>
  </si>
  <si>
    <t>отец: Сергованцев Юрий Борисович 26.05.1953 г.р., Мать: Сергованцева (Яковлева) Галина Анатольевна 18.03.1951 г.р., жена: Сергованцева (Козырева) Оксана Николаевна 25.04.1978 г.р., дочь: Мария 19.11.2004 г.р., сын: Кирилл 201.01.2011 г.р.</t>
  </si>
  <si>
    <t>8-903-376-34-14
8-917-727-78-20</t>
  </si>
  <si>
    <t>944 САП</t>
  </si>
  <si>
    <t>ЖАРКИХ Д.В.</t>
  </si>
  <si>
    <t>СОЛОДЯНКИН О.Н.</t>
  </si>
  <si>
    <t>ЕВСЕЕВ Александр Петрович</t>
  </si>
  <si>
    <t>х. Новоалександровка Серафимовического р-на Волгоградской обл.</t>
  </si>
  <si>
    <t>мать: Евсеева Татьяна Николаевна 1963 г.р., отец: Евсеев Петр Павлович 1961 г.р., жена: Евсеева (Кшнясева) Екатерина Евгеньевна 1984 г.р., сын: Семен 08.08.2017 г.р.</t>
  </si>
  <si>
    <t>Волгоградская, Волгоград, Невская, 18а</t>
  </si>
  <si>
    <t>8-902-385-46-77</t>
  </si>
  <si>
    <t>ПАВЛОВ А.В.</t>
  </si>
  <si>
    <t>Заместитель начальника штаба</t>
  </si>
  <si>
    <t>ЗАГИКА Виктор Александрович</t>
  </si>
  <si>
    <t>г. Борне-Суликово Польша</t>
  </si>
  <si>
    <t>отец: Загика Александр Иванович, мать: Загика Ольга Васильевна, жена: Загика (Сысоева)Юлия Александровна 02.12.1988 г.р., сын: Василий 30.06.2017 г.р., сын: Михаил 21.12.2018 г.р.</t>
  </si>
  <si>
    <t>Архангельская, Архангельск, Дзержинского, 25</t>
  </si>
  <si>
    <t>8-902-285-17-00</t>
  </si>
  <si>
    <t>БОЧАРОВ Руслан Григорьевич</t>
  </si>
  <si>
    <t>г. Горловка Донецкой области</t>
  </si>
  <si>
    <t>отец: Бочаров Григорий Владимирович, мать: Бочарова (Попова) Галина Ивановна, жена: Бочаров (Заточная) Анна Владимировна 1976 г.р., сын: Евгений 11.01.1997 г.р., сын: Алексей 01.07.2001 г.р.,сын: Андрей 05.04.2008 г.р.</t>
  </si>
  <si>
    <t>Волгоградская, Волжский, Рабочий, Мухина, 1</t>
  </si>
  <si>
    <t>8-903-372-51-08</t>
  </si>
  <si>
    <t>Начальник разведки штаба</t>
  </si>
  <si>
    <t>СИПИН Евгений Михайлович</t>
  </si>
  <si>
    <t>Вологодская обл., Тарногский р-н, д. Афоновская</t>
  </si>
  <si>
    <t>отец: Сипин Михаил Альбертович, 18.05.1973 г.р.
Мать: Сипина Ирина Владимировна, 05.11.1970 г.р.</t>
  </si>
  <si>
    <t>Вологодская, Тарногорский городок, Кирова, 31</t>
  </si>
  <si>
    <t>8-999-528-76-35</t>
  </si>
  <si>
    <t>Начальник связи штаба</t>
  </si>
  <si>
    <t>ДЕМИДОВ Александр Юрьевич</t>
  </si>
  <si>
    <t>г. Брунталь, Североморавской обл., Чехословакия</t>
  </si>
  <si>
    <t>отец: Демидов Юрий Николаевич, мать: Демидова Наталья Николаевна, жена: Демидова (Ананьева) Наталья Михайловна 13.06.1983 г.р.</t>
  </si>
  <si>
    <t>8-952-416-32-81</t>
  </si>
  <si>
    <t>БРАВЫЙ Александр Александрович</t>
  </si>
  <si>
    <t>ст. Пугачевская Котельниковского района Волгоградской области</t>
  </si>
  <si>
    <t>жена: Бравый Александр Николаевич, мать: Бравая (Понкратова) Татьяна Анатольевна, жена: Бравая (Щаюк) Олеся Александровна 14.05.1985 г.р., сын: Роман 20.12.2012 г.р.</t>
  </si>
  <si>
    <t>Волгоградская, Волгоград, им Тимирязева, 15</t>
  </si>
  <si>
    <t>8-917-843-55-59</t>
  </si>
  <si>
    <t xml:space="preserve">РОДИОНОВ Роман Павлович </t>
  </si>
  <si>
    <t>гор. Асбест, Свердловской обл.</t>
  </si>
  <si>
    <t>Отец: Родионов Павел Геннадьевич
Мать: Родионова Дина Зуфаровна</t>
  </si>
  <si>
    <t>Татарстан, Казань, Сафиуллина, 24</t>
  </si>
  <si>
    <t>8-917-900-52-98</t>
  </si>
  <si>
    <t>ВИННИКОВ Н.А</t>
  </si>
  <si>
    <t>ЧАГАРОВ А.Р.</t>
  </si>
  <si>
    <t>ЛЕБЕДЕВ Александр Владимирович</t>
  </si>
  <si>
    <t>КЕРИЧЕК И.Г.</t>
  </si>
  <si>
    <t>Начальник продовольственной и вещевой служб тыла</t>
  </si>
  <si>
    <t>СИРОТИН А.А.</t>
  </si>
  <si>
    <t>1 ГСАДн</t>
  </si>
  <si>
    <t>Командир 1 гаубичного самоходно-артиллерийского дивизиона</t>
  </si>
  <si>
    <t>ЛУШКОВ Сергей Николаевич</t>
  </si>
  <si>
    <t>с. Дареевичи Стародубского района Брянской области</t>
  </si>
  <si>
    <t>отец: Лушков Николай Иванович, мать: Лушкова (Шаройко) Екатерина Сергеевна</t>
  </si>
  <si>
    <t>Брянская, Клинцы, Мира, 95</t>
  </si>
  <si>
    <t>8-902-654-54-53</t>
  </si>
  <si>
    <t xml:space="preserve">Заместитель командира дивизиона по вооружению гаубичного самоходно-артиллерийского дивизиона </t>
  </si>
  <si>
    <t>ГУДАЕВ Денис Сергеевич</t>
  </si>
  <si>
    <t>с. Крюково Задонского района Липецкой области</t>
  </si>
  <si>
    <t>отец: Гудаев Сергей Васильевич, мать: Гудаева Марина Валентиновна</t>
  </si>
  <si>
    <t>Волгоградская, Волгоград, Донецкая, 16а</t>
  </si>
  <si>
    <t>8-919-542-71-86</t>
  </si>
  <si>
    <t>Начальник штаба-заместитель командира 1 гаубичного самоходно-артиллерийского дивизиона</t>
  </si>
  <si>
    <t>ОМАРОВ Омар Муса оглы</t>
  </si>
  <si>
    <t>с. Гедаг-Даг Дманисского района Грузия</t>
  </si>
  <si>
    <t>отец: Омаров Мусса Омар оглы, мать: Омарова (Ибрагимова) Майя Юсиф кызы, жена: Омарова (Юсубова) Ильхама Махмуд кызы 22.11.1989 г.р., сын: Муса Омар оглы 10.01.2011 г.р., сын: Исса Омар Омар оглы 09.08.2012 г.р.</t>
  </si>
  <si>
    <t>Волгоградская, Волгоград, им Кропоткина, 1</t>
  </si>
  <si>
    <t>8-937-747-78-77</t>
  </si>
  <si>
    <t>Начальник разведки 1 гаубичного самоходно-артиллерийского дивизиона</t>
  </si>
  <si>
    <t>Командир 1 гаубичной самоходно-артиллерийской батареи 1 гаубичного самоходно-артиллерийского дивизиона</t>
  </si>
  <si>
    <t>КОЖУХАРЬ Сергей Владимирович</t>
  </si>
  <si>
    <t>с. Ильевка Калачевского района Волгоградской области</t>
  </si>
  <si>
    <t>отец: Кожухарь Владимир Михайлович, мать: Кожухарь (Щетинина) Елена Владимровна 1965 г.р., жена: Кожухарь (Никифорова) Елена Владимировна 25.06.1983 г.р., сын: Андрей 24.02.2015 г.р., сын: Артем 29.09.2018 г.р.</t>
  </si>
  <si>
    <t>Волгоградская, Пятиморск, Молодежная, 30</t>
  </si>
  <si>
    <t>8-929-785-49-85</t>
  </si>
  <si>
    <t>Командир взвода-старший офицер на батарее 1 гаубичного самоходно-артиллерийского взвода 1 гаубичной самоходно-артиллерийской батареи 1 гаубичного самоходно-артиллерийского дивизиона</t>
  </si>
  <si>
    <t>Командир 2 гаубичного самоходно-артиллерийского взвода 1 гаубичной самоходно-артиллерийской батареи 1 гаубичного самоходно-артиллерийского дивизиона</t>
  </si>
  <si>
    <t>ХЕВРОНИН Алексей Сергеевич</t>
  </si>
  <si>
    <t>ВЫПУСКНИК ТГУ</t>
  </si>
  <si>
    <t>Командир взвода управления 1 гаубичной самоходно-артиллерийской батареи 1 гаубичного самоходно-артиллерийского дивизиона</t>
  </si>
  <si>
    <t>Командир 2 гаубичной самоходно-артиллерийской батареи 1 гаубичного самоходно-артиллерийского дивизиона</t>
  </si>
  <si>
    <t>ЧУКСИН Сергей Алексеевич</t>
  </si>
  <si>
    <t>г. Камышин Волгоградская область</t>
  </si>
  <si>
    <t>отец: Чуксин Алексей Иванович 1962 г.р., мать: Чуксина (Павлова) Маргарита Васильевна 1961 г.р., жена: Чуксина (Бочкарёва) Елена Геннадьевна 1986 г.р., дочь: Арина 2009г.р., дочь: Дарья 2011 г.р., Нелли 2016 г.р.</t>
  </si>
  <si>
    <t>8-927-253-21-89</t>
  </si>
  <si>
    <t>Командир взвода-старший офицер на батарее 1 гаубичного самоходно-артиллерийского взвода 2 гаубичной самоходно-артиллерийской батареи 1 гаубичного самоходно-артиллерийского дивизиона</t>
  </si>
  <si>
    <t>Командир 2 гаубичного самоходно-артиллерийского взвода 2 гаубичной самоходно-артиллерийской батареи 1 гаубичного самоходно-артиллерийского дивизиона</t>
  </si>
  <si>
    <t>ПРИХОЖАЕВ Виталий Дмитриевич</t>
  </si>
  <si>
    <t>отец: Прихожаев Дмитрий Витальевич, 10.11.1964 г.р.
Мать: Прихожаева (Юрьева) Лариса Алексеевна, 25.05.1968 г.р.</t>
  </si>
  <si>
    <t>г. Волгоград, ул. Менжинского, д. 28, кв. 123</t>
  </si>
  <si>
    <t>8-961-068-21-13</t>
  </si>
  <si>
    <t>Командир взвода управления 2 гаубичной самоходно артиллерийской  батареи 1  гаубичного самоходно-артиллерийского дивизиона</t>
  </si>
  <si>
    <t>Командир батареи 3 гаубичной самоходно-артиллерийской батареи 1 гаубичного самоходно-артиллерийского дивизиона</t>
  </si>
  <si>
    <t>СВЕТАШОВ Александр Викторович</t>
  </si>
  <si>
    <t>р.п. Приморск Быковского района Волгоградской области РСФСР</t>
  </si>
  <si>
    <t>отец: Светашов Виктор Васильевич</t>
  </si>
  <si>
    <t>Волгоградская, г. Волгоград, в/ч 22220</t>
  </si>
  <si>
    <t>8-927-547-33-79</t>
  </si>
  <si>
    <t>Командир взвода-старший офицер на батарее 1 гаубичного самоходно-артиллерийского взвода 3 гаубичной самоходно-артиллерийской батареи 1 гаубичного самоходно-артиллерийского дивизиона</t>
  </si>
  <si>
    <t>Командир 2 гаубичного самоходно-артиллерийского взвода 3 гаубичной самоходно-артиллерийской батареи 1 гаубичного самоходно-артиллерийского дивизиона</t>
  </si>
  <si>
    <t xml:space="preserve">ВАКАНТ  (ВЫПУСКНИК ТГУ) </t>
  </si>
  <si>
    <t>Командир взвода управления 3 гаубичной самоходно-артиллерийской батареи 1 гаубичного самоходно-артиллерийского дивизиона</t>
  </si>
  <si>
    <t>БУГАЕВ Александр Сергеевич</t>
  </si>
  <si>
    <t>с. Дроновка Глушковского района Курской области</t>
  </si>
  <si>
    <t>отец: Бугаев Сергей Иванович, мать: Багаева Светлана Анатольевна</t>
  </si>
  <si>
    <t>Курская, Теткино, Ленина, 162</t>
  </si>
  <si>
    <t>8-999-213-30-64</t>
  </si>
  <si>
    <t>Начальник связи-командир взвода управления гаубичного 1 самоходно-артиллерийского дивизиона</t>
  </si>
  <si>
    <t>СТРЕЛЬНИКОВ Владимир Анатольевич</t>
  </si>
  <si>
    <t>с. Медовка Калининского района Армянской ССР</t>
  </si>
  <si>
    <t>жена: Стрельникова (Карпенко) Татьяна Юрьевна, 23.06.1994 г.р.
отец: Стрельников Анатолий Владимирович 01.12.1966 г.р., мать: Стрельникова (Новосельцева) Марина Ивановна 23.02.1968 г.р.</t>
  </si>
  <si>
    <t>Краснодарский, Краснодар, им Александра Покрышкина, 4/10</t>
  </si>
  <si>
    <t>8-995-429-15-15</t>
  </si>
  <si>
    <t>РЕАДн</t>
  </si>
  <si>
    <t>Командир реактивного артиллерийского дивизиона</t>
  </si>
  <si>
    <t>МАЛЫШЕВ Сергей Станиславович</t>
  </si>
  <si>
    <t>г. Вяземский Хабаровского края</t>
  </si>
  <si>
    <t>отец: Малышев Станислав Владимирович, мать: Малышева Любовь Владимировна, жена: Мвлышева Екатерина Витальевна 25.11.1987 г.р., дочь: Маргарита 20.10.2009 г.р., дочь: София 14.05.2014 г.р., дочь: Александра 23.08.2018 г.р.</t>
  </si>
  <si>
    <t>Хабаровский, Вяземский, Февральская, 1А</t>
  </si>
  <si>
    <t>8-909-805-82-46
8-929-782-77-75</t>
  </si>
  <si>
    <t xml:space="preserve">Заместитель командира дивизиона по вооружению реактивного артиллерийского дивизиона </t>
  </si>
  <si>
    <t>НОВИКОВ Александр Константинович</t>
  </si>
  <si>
    <t>г. Ейск Краснодарского края</t>
  </si>
  <si>
    <t>отец: Новиков Константин Владимирович, мать: Новикова Ольга Александровна, жена: Новикова (Мартынова) Александра Алексеевна 08.08.1985 г.р., дочь: Алина 01.06.2009 г.р., дочь: Вероника 22.09.2010 г.р.</t>
  </si>
  <si>
    <t>Краснодарский, Ейск, Калинина, 279</t>
  </si>
  <si>
    <t>8-937-751-44-68
8-937-696-57-78</t>
  </si>
  <si>
    <t>Начальник штаба-заместитель командира реактивного артиллерийского дивизиона</t>
  </si>
  <si>
    <t>ДАВИДЕНКО Александр Сергеевич</t>
  </si>
  <si>
    <t>г. Казань</t>
  </si>
  <si>
    <t>отец: Давиденко Сергей Александрович, мать: Давиденко (Зарифуллина) Наталья Равильевна, жена: Давиденко (Усова) Людмила Сергеевна 08.04.1986 г.р., сын: Илья 12.02.2013 г.р., дочь: Варвара 08.03.2017 г.р.</t>
  </si>
  <si>
    <t>Татарстан, Казань, Красной Позиции, 7</t>
  </si>
  <si>
    <t>8-928-491-55-62</t>
  </si>
  <si>
    <t>Начальник разведки реактивного артиллерийского дивизиона</t>
  </si>
  <si>
    <t>ЗАЙЦЕВ Вячеслав Михайлович</t>
  </si>
  <si>
    <t>г. Бор Горьковской области</t>
  </si>
  <si>
    <t>отец: Зайцев Михаил Анатольевич, мать: Зайцева Татьяна Юрьевна, жена: Зайцева (Жерякова) Юлия Михайловна 02.02.1985 г.р., сын: Савелий 26.03.2013 г.р., дочь: Анастасия 12.12.2015 г.р.</t>
  </si>
  <si>
    <t>8-937-531-85-75</t>
  </si>
  <si>
    <t>Командир 1 реактивной артиллерийской батареи реактивного артиллерийского дивизиона</t>
  </si>
  <si>
    <t>СТАРУСЬ Сергей Сергеевич</t>
  </si>
  <si>
    <t>г. Майкоп Адыгейской автономной области Краснодарского края</t>
  </si>
  <si>
    <t>отец: Старусь Сергей Павлович, мать: Старусь Светлана Алексеевна, жена: Старусь Евгения Андреевна 29.05.1991 г.р., дочь: Ева 13.12.2014 г.р., сын: Михаил 12.07.2017 г.р.</t>
  </si>
  <si>
    <t>Адыгея, Майкоп, Димитрова, 11</t>
  </si>
  <si>
    <t>8-987-653-68-60</t>
  </si>
  <si>
    <t>Командир взвода-старший офицер на батарее 1 реактивного артиллерийского взвода 1 реактивной артиллерийской батареи реактивного артиллерийского дивизиона</t>
  </si>
  <si>
    <t>ГРУЗДЕНКО Андрей Валерьевич</t>
  </si>
  <si>
    <t>г. Термез Сурхандарьинской области Узбекистан</t>
  </si>
  <si>
    <t>отец: Грузденко Валерий Георгиевич, мать: Грузденко Наталья Андреевна, жена: Кузнецова Алена Анатольевна 24.04.1978 г.р., дочь: Татьяна 19.09.2018 г.р.</t>
  </si>
  <si>
    <t>8-996-418-79-09</t>
  </si>
  <si>
    <t>Командир 2 реактивного артиллерийского взвода 1 реактивной артиллерийской батареи реактивного артиллерийского дивизиона</t>
  </si>
  <si>
    <t>Командир взвода управления 1 реактивной артиллерийской батареи реактивного артиллерийского дивизиона</t>
  </si>
  <si>
    <t>КОЗАЕВ Христофор Ибрагимович</t>
  </si>
  <si>
    <t>г. Владикавказ РСО-Алания</t>
  </si>
  <si>
    <t>отец: Козаев Ирагим Христофорович, мать: Мамиева Марина Казбековна</t>
  </si>
  <si>
    <t>Северная Осетия, Владикавказ, Тельмана, 5</t>
  </si>
  <si>
    <t>8-918-702-02-45</t>
  </si>
  <si>
    <t>Командир 2 реактивной артиллерийской батареи реактивного артиллерийского дивизиона</t>
  </si>
  <si>
    <t>ПЕТРИЩЕВ Артем Владимирович</t>
  </si>
  <si>
    <t>с. Злобино Становлянского района Липецкой области</t>
  </si>
  <si>
    <t>отец: Петрищев Владимир Алексеевич, мать: Петрищева Тамара Степановна, жена: Петрищева (Кретенокова) Александра Васильевна 01.11.1992 г.р., дочь: Алина 12.03.2010 г.р., сын: Алексей 18.10.2016 г.р.</t>
  </si>
  <si>
    <t>Липецкая, Злобино, Родионова, 20</t>
  </si>
  <si>
    <t>8-996-509-41-72</t>
  </si>
  <si>
    <t>Командир взвода-старший офицер на батарее 1 реактивного артиллерийского взвода 2 реактивной артиллерийской батареи реактивного артиллерийского дивизиона</t>
  </si>
  <si>
    <t>ДИКАРЕВ Алексей Александрович</t>
  </si>
  <si>
    <t>г. Михайловка Волгоградской области</t>
  </si>
  <si>
    <t>мать: Дикарева Галина Владимировна, отец: Дикарев Александр Иванович</t>
  </si>
  <si>
    <t>Волгоградская, Скуришенская, Молодежная, 12</t>
  </si>
  <si>
    <t>8-937-088-63-00</t>
  </si>
  <si>
    <t>Командир 2 реактивного артиллерийского взвода 2 реактивной артиллерийской батареи реактивного артиллерийского дивизиона</t>
  </si>
  <si>
    <t>ПАШКОВ Никита Андреевич</t>
  </si>
  <si>
    <t>гор. Кингисепп, Ленинградской обл.</t>
  </si>
  <si>
    <t>отец: Пашков Андрей Юрьевич, 11.01.1971 г.р.
Мать: Новикова (Пашкова) Светлана Леонидовна, 07.06.1977 г.р.</t>
  </si>
  <si>
    <t>Ленинградская, Кингисепп, Большая Советская, 37</t>
  </si>
  <si>
    <t>8-951-681-92-11</t>
  </si>
  <si>
    <t>Командир взвода управления 2 реактивной артиллерийской батареи реактивного артиллерийского дивизиона</t>
  </si>
  <si>
    <t>КАРТАШОВ Павел Владимирович</t>
  </si>
  <si>
    <t>отец: Карташов Владимир Андреевич, мать: Карташова (Кузякина) Ольга Владимировна, жена: Карташов (Самохина) Юлия Александровна 1989 г.р, дочь: Ксения 19.01.2013 г.р., дочь: Дарья 02.04.2018 г.р.</t>
  </si>
  <si>
    <t>Волгоградская, Волгоград, Гагарина, 7</t>
  </si>
  <si>
    <t>8-904-777-73-81</t>
  </si>
  <si>
    <t>Начальник связи-командир взвода управления реактивного артиллерийского дивизиона</t>
  </si>
  <si>
    <t>ИВАНИЩЕВ Александр Анатольевич</t>
  </si>
  <si>
    <t>пос. Степное Советского района Саратовской области</t>
  </si>
  <si>
    <t>жена: Иванищева (Авдеева) Елена Николаевна, 17.02.1983 г.р.
Сын: Платон, 11.09.2019 г.р.
Отец: Иавнищев Анатолий Александрович, 01.04.1957 г.р.
Мать: Иванищева (Плишкина) Галина Николаевна, 29.08.1956 г.р.</t>
  </si>
  <si>
    <t>Саратовская, Степное, Школьная, 3</t>
  </si>
  <si>
    <t>БАР</t>
  </si>
  <si>
    <t>Командир батареи артиллерийской разведки</t>
  </si>
  <si>
    <t>ТАРУСОВ Сергей Юрьевич</t>
  </si>
  <si>
    <t>г. Баку республики Азербайджан</t>
  </si>
  <si>
    <t>отец: Тарусов Юрий Петрович, мать: Тарусова (Андреева) Нина Гавриловна, жена: Тарусова Анна Сергеевна 23.05.1986 г.р., сын: Артем 23.11.2014 г.р., сын: Данил 13.01.2019 г.р.</t>
  </si>
  <si>
    <t>Волгоградская, Волгоград, им Вершинина, 5</t>
  </si>
  <si>
    <t>8-966-789-01-88</t>
  </si>
  <si>
    <t>Командир взвода артиллерийской разведки батареи артиллерийской разведки</t>
  </si>
  <si>
    <t>Начальник радиолокационной станции (СНАР-10М1) батареи артиллерийской разведки</t>
  </si>
  <si>
    <t>КУНАЕВ Денис Витальевич</t>
  </si>
  <si>
    <t>г. Воткинск, Удмуртская Респ.</t>
  </si>
  <si>
    <t>Отец: Васильев Виталий Александрович, 20.05.1974 г.р.
Мать: Кунаева Надежда Александровна, 11.04.1975 г.р.</t>
  </si>
  <si>
    <t>Удмуртская, Воткинск, Волгоградская, 26</t>
  </si>
  <si>
    <t>8-999-156-60-31</t>
  </si>
  <si>
    <t>Начальник радиолокационной станции (1Л-260) батареи артиллерийской разведки</t>
  </si>
  <si>
    <t>Командир взвода - начальника комплекса взвода звукометрической разведки батареи артиллерийской разведки</t>
  </si>
  <si>
    <t>ЕЛИН Михаил Сергеевич</t>
  </si>
  <si>
    <t>отец: Елин Сергей Андреевич, мать: Елина (Атаманчук) Татьяна Александровна</t>
  </si>
  <si>
    <t xml:space="preserve">Волгоградская, Песчаный, </t>
  </si>
  <si>
    <t>8-902-313-07-01</t>
  </si>
  <si>
    <t>ВЫПУСКНИК МВАА</t>
  </si>
  <si>
    <t xml:space="preserve">Командир топогеодезического взвода батареи артиллерийской разведки </t>
  </si>
  <si>
    <t>БУ</t>
  </si>
  <si>
    <t>Командир батареи управления</t>
  </si>
  <si>
    <t>Командир радиовзвода батареи управления</t>
  </si>
  <si>
    <t>Командир взвода связи батареи управления</t>
  </si>
  <si>
    <t>ВАКАНТ (ВЫПУСКНИК ВАС)</t>
  </si>
  <si>
    <t>Заместитель командира роты материального обеспечения</t>
  </si>
  <si>
    <t>МЕД.П</t>
  </si>
  <si>
    <t>Начальник пункта-врач медицинского пункта (со стационаром 15 коек)</t>
  </si>
  <si>
    <t>Врач медицинского пункта (со стационаром 15 коек)</t>
  </si>
  <si>
    <t>358 ЗРП</t>
  </si>
  <si>
    <t>МАЙОРКИН Николай Геннадьевич</t>
  </si>
  <si>
    <t>КУСАИНОВ Дамир Бисенгалиевич</t>
  </si>
  <si>
    <t>Помощник  командира полка по физической подготовке - начальник физической подготовки</t>
  </si>
  <si>
    <t>НЫРОВ Алексей Сергеевич</t>
  </si>
  <si>
    <t>АНДРЕЕВ Александр Викторович</t>
  </si>
  <si>
    <t>ТКАЧЕНКО Олег Валентинович</t>
  </si>
  <si>
    <t>отец: Ткаченко Валентин Викторович, мать: Ткаченко (Козлова) Наталья Ивановна, жена: Ткаченко (Матюхова) Юлия Викторовна 27.07.1985 г.р, сын: Дмитрий 01.08.2009 г.р., сын: Игорь 06.01.2014 г.р.</t>
  </si>
  <si>
    <t>8-902-099-24-81</t>
  </si>
  <si>
    <t>ЗАВГОРОДНИЙ А.В.</t>
  </si>
  <si>
    <t>ХРАМЕЕВ А.Н.</t>
  </si>
  <si>
    <t>ЕРОШИН Денис Владимирович</t>
  </si>
  <si>
    <t>МИРНОВ А.М.</t>
  </si>
  <si>
    <t>ГУЖВА Дмитрий Николаевич</t>
  </si>
  <si>
    <t>с. Сакмара Сакмарского района Оренбургской области</t>
  </si>
  <si>
    <t>отец: Гужва Николай Петрович, мать: Гужва Раиса Николаевна, жена: Гужва (Сметанина) Кристина Александровна, свн: Никита 13.05.2014 г.р., сын: Даниил 16.11.2011 г.р.</t>
  </si>
  <si>
    <t>Северная Осетия, Нарт, А. Цекоева, в/ч</t>
  </si>
  <si>
    <t>8-937-724-46-65</t>
  </si>
  <si>
    <t>СТРЕПУШОВ С.В.</t>
  </si>
  <si>
    <t>МАКСИМОВ В.А.</t>
  </si>
  <si>
    <t>ШАПОВАЛОВ Н.А.</t>
  </si>
  <si>
    <t>1 ЗРБ</t>
  </si>
  <si>
    <t>Командир 1 зенитной ракетной батареи</t>
  </si>
  <si>
    <t>ЛУКШИН Александр Анатольевич</t>
  </si>
  <si>
    <t>г. Волгодонск Ростовской области</t>
  </si>
  <si>
    <t>отец: Лукшин Анатолий Васильевич 1969 г.р., мать: Лукшина Татьяна Павловна 1971 г.р., жена: Лукшина (Новикова) Евгения Александровна 07.09.1993 г.р., сын: Василий 15.04.2015</t>
  </si>
  <si>
    <t>Ростовская, Сальск, Конезавод имени Буденного, Ленина, 6</t>
  </si>
  <si>
    <t>8-919-799-20-67</t>
  </si>
  <si>
    <t>расчет</t>
  </si>
  <si>
    <t>Начальник 1 зенитного ракетного расчета 1 зенитной ракетной батареи</t>
  </si>
  <si>
    <t>ВАКАНТ (ВЫПУСКНИК ВАВПВО)</t>
  </si>
  <si>
    <t>Начальник 2 зенитного ракетного расчета 1 зенитной ракетной батареи</t>
  </si>
  <si>
    <t>ДЕНИСЕНКО Александр Юрьевич</t>
  </si>
  <si>
    <t>ВК Смоленской области по г. Смоленск</t>
  </si>
  <si>
    <t>отец: Денисенко Юрий Николаевич</t>
  </si>
  <si>
    <t>8-962-196-38-89</t>
  </si>
  <si>
    <t>Начальник 3 зенитного ракетного расчета 1 зенитной ракетной батареи</t>
  </si>
  <si>
    <t>САРАФАНОВ Максим Михайлович</t>
  </si>
  <si>
    <t>жена: Сарафанова (Глебова) Елена Викторовна, 22.05.1996 г.р.
Дочь: Сарафанова Виктория Максимовна, 19.01.2021 г.р.
отец: Сарафанов Михаил Васильевич, мать: Белоусова Ирина Анатольевна</t>
  </si>
  <si>
    <t>Волгоградская, Волгоград, 39 Гвардейской, 24</t>
  </si>
  <si>
    <t>8-960-583-58-88</t>
  </si>
  <si>
    <t>Начальник 4 зенитного ракетного расчета 1 зенитной  ракетной батареи</t>
  </si>
  <si>
    <t>ГАПУРОВ Ибрагим Халимбекович</t>
  </si>
  <si>
    <t>г. Магдебург ФРГ</t>
  </si>
  <si>
    <t>отец: Гапуров Халимбек Валиевич, мать: Гапурова Патимат Бадрутдиновна, дочь: Джамиля 24.05.2015 г.р.</t>
  </si>
  <si>
    <t xml:space="preserve">Дагестан, Тюбе, 1-й, </t>
  </si>
  <si>
    <t>8-904-420-66-66</t>
  </si>
  <si>
    <t>2 ЗРБ</t>
  </si>
  <si>
    <t>Командир 2 зенитной ракетной батареи</t>
  </si>
  <si>
    <t>САМОРУКОВ Сергей Владимирович</t>
  </si>
  <si>
    <t>г. Абдулино Оренбургской области</t>
  </si>
  <si>
    <t>отец: Саморуков Владимир Поликарпович, мать: Саморукова Людмила Петровна, жена: Саморукова (Ерохина) Елена Анатольевна 02.12.1986 г.р., сын: Роман 19.05.2010 г.р., сын: Александр 26.11.2014 г.р.</t>
  </si>
  <si>
    <t>8-999-741-97-70</t>
  </si>
  <si>
    <t>Начальник 1 зенитного ракетного расчета 2 зенитной ракетной батареи</t>
  </si>
  <si>
    <t>МЕЛЕШКО Игорь Сергеевич</t>
  </si>
  <si>
    <t>отец: Мелешко Сергей Борисович, мать: Рагозинская Галина Геннадьевна, жена: Мелешко Наталья Юрьевна 1983 г.р., дочь: Карина 09.12.2005 г.р., дочь: Екатерина 10.06.2015 г.р.</t>
  </si>
  <si>
    <t>8-937-545-94-88
8-927-252-51-73</t>
  </si>
  <si>
    <t>Начальник 2 зенитного ракетного расчета 2 зенитной ракетной батареи</t>
  </si>
  <si>
    <t>ШКИТИН Дмитрий Владимирович</t>
  </si>
  <si>
    <t>Волгоградская область Елинский район с. Журавка</t>
  </si>
  <si>
    <t>отец: Шкитин Владимир Ильич, мать: Шкитина (Гуридина) Ольга Викторовна, жена: Шкитина Дина Александровна 29.03.1985г.р., 
сын: Шкитин Артем Дмитриевич, 05.08.2009 г.р. сын: Алексей 15.06.2016 г.р.</t>
  </si>
  <si>
    <t>Волгоградская, Волгоград, им маршала Еременко, 98</t>
  </si>
  <si>
    <t>8-937-727-33-40</t>
  </si>
  <si>
    <t>Начальник 3 зенитного ракетного расчета 2 зенитной ракетной батареи</t>
  </si>
  <si>
    <t>КРИВЦОВ Иван Олегович</t>
  </si>
  <si>
    <t>отец: Кривцов Олег Анатольевич 1967 г.р., мать: Кривцова Ольга Владимировна 1968 г.р., жена: Кривцова (Кузьмина) Ирина Александровна 27.04.1989 г.р.</t>
  </si>
  <si>
    <t>8-961-659-51-50</t>
  </si>
  <si>
    <t>Начальник 4 зенитного ракетного расчета 2 зенитной  ракетной батареи</t>
  </si>
  <si>
    <t>ГАЙНУЛИН Тагир Насибуллович</t>
  </si>
  <si>
    <t>с. Барабановка Новосергиевский р-н Оренбургской области</t>
  </si>
  <si>
    <t>отец: Гайнуллин Насибулла Гарифуллович, мать: Гайнуллина Венера Исмагиловна, жена: Гайнуллина (Якимова) Оксана Сергеевна 1988 г.р., дочь: Эвелина 16.02.2009 г.р., дочь: Диана 11.10.2010 г.р.</t>
  </si>
  <si>
    <t>Ростовская, Ростов-на-Дону, Фурмановская, 150</t>
  </si>
  <si>
    <t>8-928-606-09-61</t>
  </si>
  <si>
    <t>3 ЗРБ</t>
  </si>
  <si>
    <t>Командир 3 зенитной ракетной батареи</t>
  </si>
  <si>
    <t>ПАНИН Александр Владимирович</t>
  </si>
  <si>
    <t>п. Саракташ Саракташский район Оренбургской области</t>
  </si>
  <si>
    <t>отец: Панин Владимир Ефимович мать: Старосельцева Татьяна Александровна, жена: Панина Юлия Николаевна 27.01.1986 г.р., сын: Глеб 21.01.2010 г.р., сын: Борис 18.06.2011 г.р., дочь: Ксения 13.06.2016 г.р.</t>
  </si>
  <si>
    <t>Волгоградская, Волгоград, тер. Поселок Горная поляна, ул. Им. Николая Любимова, д. 46</t>
  </si>
  <si>
    <t>8-937-536-65-22
8-937-696-83-03</t>
  </si>
  <si>
    <t>Начальник 1 зенитного ракетного расчета 3 зенитной ракетной батареи</t>
  </si>
  <si>
    <t>НАНИЕВ Олег Муратович</t>
  </si>
  <si>
    <t>п. Квайса Джавского района Республики Южная Осетия</t>
  </si>
  <si>
    <t>отец: Наниев Мурат Ильич, мать: Наниева Татьяна Васильевна, жена: Засеева Оксана Михайловна 15.08.1981 г.р., дочь: Милана 11.09.2010 г.р., сын: Сармат 24.07.2012 г.р.</t>
  </si>
  <si>
    <t>8-937-694-06-88</t>
  </si>
  <si>
    <t>Начальник 2 зенитного ракетного расчета 3 зенитной ракетной батареи</t>
  </si>
  <si>
    <t>БОЧАНОВСКИЙ Руслан Марсович</t>
  </si>
  <si>
    <t>17.10.1995 </t>
  </si>
  <si>
    <t>г. Джизак Джизакской обл. Узбекистан</t>
  </si>
  <si>
    <t>жена: Бочановская (Кистерная) Мария Константиновна, 25.04.1995 г.р.
Отец: Файзуллин Марс Равильевич, 12.04.1968 г.р.
Мать: Файзуллина (Бочановская) Ольга Юрьевна, 31.05.1970 г.р.</t>
  </si>
  <si>
    <t>Республика Карелия, г. Медвежьегорск, ул. М. Горького, 5Б, кв. 92</t>
  </si>
  <si>
    <t>8-922-873-41-77</t>
  </si>
  <si>
    <t>Начальник 3 зенитного ракетного расчета 3 зенитной ракетной батареи</t>
  </si>
  <si>
    <t>Начальник 4 зенитного ракетного расчета 3 зенитной  ракетной батареи</t>
  </si>
  <si>
    <t>ТЕХ.Б</t>
  </si>
  <si>
    <t>Командир технической батареи</t>
  </si>
  <si>
    <t>ТЮРКИН Роман Евгеньевич</t>
  </si>
  <si>
    <t>п. Малиновка г. Осинники Кемеровкой области</t>
  </si>
  <si>
    <t>мать: Тюркина Наталья Владимировна 10.06.1976 г.р., жена: Тюркина (ЗИНИНА) Ксения Андреевна 19.03.1995 г.р.</t>
  </si>
  <si>
    <t>Кемеровская, Калтан, Железнодорожная, 65</t>
  </si>
  <si>
    <t>8-999-765-00-93
8-996-483-76-39</t>
  </si>
  <si>
    <t>ГБУ</t>
  </si>
  <si>
    <t>Заместитель начальника штаба по разведке-начальник группы боевого управления</t>
  </si>
  <si>
    <t>ГОГЛАЧЕВ Игорь Николаевич</t>
  </si>
  <si>
    <t>пос. Красный Ключ Нуримановского р-на Башкортостан</t>
  </si>
  <si>
    <t>жена: Гоглачева (Азнабаева) Алия Мидхатовна, 22.09.1984 г.р., сын: Владислав, 26.11.2007 г.р., дочь: Алисия, 19.07.2012 г.р., Отец: Гоглачев Николай Михайлович, умер 31.08.2008. мать: Гоглачева (Южанинова) Валентина Алексеевна, 15.05.1955 г.р.</t>
  </si>
  <si>
    <t>г. Волгоград, ул. им. Маршала Воронова, д.18, кв. 21</t>
  </si>
  <si>
    <t>8-927-515-78-39</t>
  </si>
  <si>
    <t>Начальник командного пункта - заместитель командира группы боевого управления</t>
  </si>
  <si>
    <t>ЯКОВЛЕВ Евгений Викторович</t>
  </si>
  <si>
    <t>отец: Яковлев Виктор Васильевич 17.04.1958 г.р., мать: Яковлева Лариса Викторовна 02.04.1959 г.р., жена: Яковлева (Филина) Марина Юрьевна 29.06.1984 г.р., сын: Яковлев Кирилл Евгеньевич 15.01.2007 г.р., дочь: Яковлева Ксения Евгеньевна 07.06.2013 г.р.</t>
  </si>
  <si>
    <t>Смоленская, Смоленск, Королевка, 18</t>
  </si>
  <si>
    <t>8-910-789-71-97</t>
  </si>
  <si>
    <t>Заместитель начальника командного пункта - начальник радиолокационной станции обнаружения (9С19М1) группы боевого управления</t>
  </si>
  <si>
    <t>ФЕДОРОВ Петр Николаевич</t>
  </si>
  <si>
    <t>с. Рыболово Томской области</t>
  </si>
  <si>
    <t>отец: Федоров Николай Петрович 1958 г.р., мать: Федорова Надежда Федоровна 1961 г.р., жена: Федорова (Николаевская) Диана Викторовна 17.06.1978 г.р.</t>
  </si>
  <si>
    <t>Волгоградская, Волгоград, им В.И.Ленина, 189</t>
  </si>
  <si>
    <t>8-937-739-80-45</t>
  </si>
  <si>
    <t>Командир взвода управления и радиолокационной разведки группы боевого управления</t>
  </si>
  <si>
    <t>АВДЕЕВ Александр Алексеевич</t>
  </si>
  <si>
    <t>г. Лесозавадск Приморского края</t>
  </si>
  <si>
    <t>Мать: Авдеева Наталья Ивановна 15.03.1962 г.р., отец: Авдеев Алексей Алексеевич 20.05.1958 г.р., жена: Авдеева (Раздобудько) Татьяна Сергеевна 25.09.1994 г.р., дочь: Ксения 11.10.2016 г.р.</t>
  </si>
  <si>
    <t>Смоленская, Смоленск, Попова, 116</t>
  </si>
  <si>
    <t>8-937-531-31-95
8-937-539-20-27</t>
  </si>
  <si>
    <t>ВЫПУСКНИК ВАВПВО</t>
  </si>
  <si>
    <t>Командир взвода связи группы боевого управления</t>
  </si>
  <si>
    <t>Начальник запасного командного пункта группы боевого управления</t>
  </si>
  <si>
    <t>Зенитный ракетный взвод группы боевого управления</t>
  </si>
  <si>
    <t>КАЗАКОВ Алексей Викторович</t>
  </si>
  <si>
    <t>мать: Казакова Наталья Александровна 1960 г.р., отец: Казаков Виктор Михайлович 1958 г.р.</t>
  </si>
  <si>
    <t>Волгоградская, Качалино, Советская, 5</t>
  </si>
  <si>
    <t>8-904-423-52-40</t>
  </si>
  <si>
    <t>Рем.р.</t>
  </si>
  <si>
    <t>ВАРЫГИН Алексей Дмитриевич</t>
  </si>
  <si>
    <t>г. Вязники Владимирской области</t>
  </si>
  <si>
    <t>Отец: Варыгин Дмитрий Николаевич 19.01.1958 гр., Мать: Варыгина Нажия Мкенсуровна  12.01.1959 г.р., жена: Варыгина (Мучичко) Дарья Сергеевна 02.03.1988 г.р., сын: Варыгин Егор Алексеевич 16.02.2010 г.р., сын: Варыгин Макар Алексеевич 12.02.2010 г.р.</t>
  </si>
  <si>
    <t>Оренбургская, Нежинский, Маяк, 65</t>
  </si>
  <si>
    <t>8-987-202-17-16</t>
  </si>
  <si>
    <t>СОРОКИН Максим Михайлович</t>
  </si>
  <si>
    <t>гор. Оренбург</t>
  </si>
  <si>
    <t>Мать: Карстен Людмила Владимировна, 09.02.1976 г.р.</t>
  </si>
  <si>
    <t>Оренбургская, Оренбург, 60 лет Октября, 26</t>
  </si>
  <si>
    <t>8-932-841-99-66</t>
  </si>
  <si>
    <t>Начальник отделения-начальник 1 расчета обслуживания отделения технического обслуживания ремонтной роты</t>
  </si>
  <si>
    <t>Инженер 1 расчета обслуживания отделения технического обслуживания ремонтной роты</t>
  </si>
  <si>
    <t>Начальник 2 расчета обслуживания отделения технического обслуживания ремонтной роты</t>
  </si>
  <si>
    <t>454 ОБС</t>
  </si>
  <si>
    <t xml:space="preserve">Командир батальона </t>
  </si>
  <si>
    <t>МУСОХРАНОВ Владимир Александрович</t>
  </si>
  <si>
    <t>п. Дубинино Шарыповский район Красноярский край</t>
  </si>
  <si>
    <t>отец: Мусохранов Александр Михайлович, умер 14.01.1982 г., мать: Кочкуркина Людмила Владимировна, жена: Леонтьева Татьяна Геннадьевна 22.10.1982 г.р., дочь: Вероника 15.05.2012 г.р., дочь: Ева 16.01.2016 г.р., Сын: Александр 05.06.2018 г.р.</t>
  </si>
  <si>
    <t>Волгоградская, Волгоград, Дымченко, 18б</t>
  </si>
  <si>
    <t>8-906-165-01-54</t>
  </si>
  <si>
    <t>ВЫПУСКНИК ВАС</t>
  </si>
  <si>
    <t>Зместитель командира батальона</t>
  </si>
  <si>
    <t>АЛФЕРОВ Виталий Владимирович</t>
  </si>
  <si>
    <t>с. Подлужное Изобильненского района Ставропольского края</t>
  </si>
  <si>
    <t>отец: Алферов Владимир Николаевич умер в 1995 г., мать: Алферова (Аверина) Елена Александровна 16.10.1969 г.р., жена: Алферова (Ивачко) Инна Юрьевна 17.02.1991 г.р.</t>
  </si>
  <si>
    <t xml:space="preserve">Заместитель командира батальона по военно-политической работе </t>
  </si>
  <si>
    <t>ИГНАТЕНКО Владимир Николаевич</t>
  </si>
  <si>
    <t xml:space="preserve">Начальник штаба-заместитель командира батальона </t>
  </si>
  <si>
    <t>АНТОНОВ Антон Сергеевич</t>
  </si>
  <si>
    <t>п. Тисуль Кемеровской области</t>
  </si>
  <si>
    <t>отец: Антонов Сергей Вениаминович, мать: Антонова Наталья Николаевна, жена: Антонова Татьяна Александровна 16.04.1991 г.р., сын: Денис 21.01.2012 г.р.</t>
  </si>
  <si>
    <t>Кемеровская, Тисуль, Сметанина, 16</t>
  </si>
  <si>
    <t>8-927-062-33-67</t>
  </si>
  <si>
    <t>КОНСТАНТЮК Юрий Юрьевич</t>
  </si>
  <si>
    <t>г. Краснодон Ворошиловградская область</t>
  </si>
  <si>
    <t>отец: Константюк Юрий Орестович, мать: Константюк Людмила Викторовна, сын: Александр 06.12.2009 г.р., сын: Алексей 16.06.2012 г.р.</t>
  </si>
  <si>
    <t>Адыгея, Гиагинское, Новая ул, 127</t>
  </si>
  <si>
    <t>8-937-531-18-19
8-917-640-54-06</t>
  </si>
  <si>
    <t>Помощник начальника штаба по (ЗАС и ключевой документации)</t>
  </si>
  <si>
    <t>БАГРАТУНИ Татьяна Сергеевна</t>
  </si>
  <si>
    <t>г. Лейпциг Германия</t>
  </si>
  <si>
    <t>отец: Новиков Сергей Васильевич, мать: Новикова Наталья Анатольевна, муж: Багратуни Артур Борисович, дочь: Анна 04.05.2004 г.р., дочь: Анжелика 20.09.2006 г.р., сын: Константин 19.09.2012 г.р.</t>
  </si>
  <si>
    <t>8-917-836-31-94</t>
  </si>
  <si>
    <t>Заместитель командира батальона по вооружению-начальник технической части</t>
  </si>
  <si>
    <t>ЧУГАЙ Евгений Иванович</t>
  </si>
  <si>
    <t>ст. Дондуковская Гиагинского района Республики Адыгея</t>
  </si>
  <si>
    <t>отец: Чугай Иван Александрович, мать: Чугай Ольга Яковлевна, жена: Чугай (Дмитриева) Наталья Владимировна 1979 г.р., сын: Ярослав 20.06.2005 г.р., сын: Вячеслав 10.12.2008 г.р.</t>
  </si>
  <si>
    <t>Адыгея, Первомайский, Лесная, 11</t>
  </si>
  <si>
    <t>8-928-471-26-56</t>
  </si>
  <si>
    <t>Энергетик технической части</t>
  </si>
  <si>
    <t>Заместитель командира батальона по тылу-начальник тыла</t>
  </si>
  <si>
    <t>ПОПОВ Д.С.</t>
  </si>
  <si>
    <t>РС (УСКП)</t>
  </si>
  <si>
    <t xml:space="preserve">Командир роты связи (узла связи командного пункта) </t>
  </si>
  <si>
    <t>ЛАГЕРЕВ Андрей Борисович</t>
  </si>
  <si>
    <t>р.п. Светлый Яр Светлоярского района Волгоградской области</t>
  </si>
  <si>
    <t>отец: Лагерев Борис Валентинович 17.08.1947 г.р., мать: Христосова Светлана Николаевна 20.12.1956 г.р., жена: Лагерева (Баранова) Елена Александровна 1996 г.р.</t>
  </si>
  <si>
    <t>Волгоградская, Светлый Яр, Лучкинская, 1</t>
  </si>
  <si>
    <t>8-961-088-02-22</t>
  </si>
  <si>
    <t>Начальник станции спутниковой связи (Р-441-О) роты связи (узла связи командного пункта)</t>
  </si>
  <si>
    <t>Командир взвода управления (командного пункта) роты связи (узла связи командного пункта)</t>
  </si>
  <si>
    <t>Командир взвода засекреченной связи роты связи (узла связи командного пункта)</t>
  </si>
  <si>
    <t>ЯКОВЛЕВ Максим Сергеевич</t>
  </si>
  <si>
    <t>ст. Гиагинская Гиагинского района Республики Адыгея</t>
  </si>
  <si>
    <t>Отец: Яковлев Сергей Иванович 05.09.1964 г.р., Мать: Яковлева (Уланская) Людмила Анатольевна 03.05.1965 г.р.</t>
  </si>
  <si>
    <t>8-961-669-20-57</t>
  </si>
  <si>
    <t>Командир радиорелейно-кабельного взвода роты связи (узла связи командного пункта)</t>
  </si>
  <si>
    <t>РС (УСЗКП)</t>
  </si>
  <si>
    <t>Командир роты связи (узла связи запасного командного пункта)</t>
  </si>
  <si>
    <t>ГАВРИЛИН Николай Сергеевич</t>
  </si>
  <si>
    <t>хутор Паньшино Городинщенского района Волгоградской области</t>
  </si>
  <si>
    <t>отец: Гаврилин Сергей Николаевич 1964 г.р., мать: Гаврилина Нина Валентиновна 1965 г.р., жена: Гаврилина (Варнавская) Мария Анатольевна 13.05.1986 г.р., дочь: Полина 29.06.2010 г.р., дочь: Виктория 09.12.2012 г.р.</t>
  </si>
  <si>
    <t>Волгоградская, Волгоград, им Рихарда Зорге, 49</t>
  </si>
  <si>
    <t>8-961-665-34-94</t>
  </si>
  <si>
    <t>Командир взвода управления (запасного командного пункта) (узла связи запасного командного пункта)</t>
  </si>
  <si>
    <t>КУКЛИН Данила Петрович</t>
  </si>
  <si>
    <t>г. Никольск Пензенская обл.</t>
  </si>
  <si>
    <t>отец: Куклин Петр Валерьевич, 06.05.1973 г.р.
мать: Куклина (Черкаева) Людмила Николаевна, 25.04.1969 г.р.</t>
  </si>
  <si>
    <t>Пензенская обл., Никольский р-он, гор. Никольск, ул. Ленина, д. 133, кв. 5</t>
  </si>
  <si>
    <t>8-999-611-88-58</t>
  </si>
  <si>
    <t>Командир радиорелейно-кабельного взвода роты связи (узла связи запасного командного пункта)</t>
  </si>
  <si>
    <t>МАЛЫШЕВА Лариса Александровна</t>
  </si>
  <si>
    <t>с. Самарское Азовского района Ростовской области</t>
  </si>
  <si>
    <t>отец: Малышев Александр Степанович, мать: Мвлышева Людмила Андреевна, дочь: Грунина Милана Алексеевна 19.01.2011 г.р.</t>
  </si>
  <si>
    <t>8-960-888-96-69</t>
  </si>
  <si>
    <t>ФПС</t>
  </si>
  <si>
    <t>Начальник станции фельдъегерско-почтовой связи</t>
  </si>
  <si>
    <t>КОЛЬЧУГАЕВ Сергей Геннадьевич</t>
  </si>
  <si>
    <t>г. Суровикино Волгоградской области</t>
  </si>
  <si>
    <t>отец: Кольчугаев Геннадий Александрович, мать: Кольчугаева Людмила Ивановна, жена: Кольчугаева Диана Витальевна 10.11.1978 г.р., сын: Никита 18.12.2001 г.р., сын: Богдан 09.12.2014 г.р.</t>
  </si>
  <si>
    <t>Волгоградская, Волгоград, Рабоче-Крестьянская, 1</t>
  </si>
  <si>
    <t>8-906-166-84-44
8-919-982-06-00</t>
  </si>
  <si>
    <t>Начальник пункта-врач медицинского пункта</t>
  </si>
  <si>
    <t>487 ОПТАДн</t>
  </si>
  <si>
    <t>Командир дивизиона</t>
  </si>
  <si>
    <t>МАГОМЕДОВ Муслим Зайнудинович</t>
  </si>
  <si>
    <t>г. Каспийск Республика Дагестан</t>
  </si>
  <si>
    <t>отец: Магомедов Зайнудин Гаджиевич, мать: Магомедоова Патимат Алиевна, жена: Магомедова Анастасия Владимировна 1985 г.р., дочь: Хадижа 26.08.2006 г.р., сын: Зайнутдин 26.09.2011 г.р.</t>
  </si>
  <si>
    <t>8-960-880-91-96</t>
  </si>
  <si>
    <t>Заместитель командира дивизиона по вооружению</t>
  </si>
  <si>
    <t>СИВИРЧУКОВ Александр Сергеевич</t>
  </si>
  <si>
    <t>х. Россиошинский Урюпинского района Волгоградской области</t>
  </si>
  <si>
    <t>мать: Сивирчукова (Гришина) Татьяна Ивановна 1952 г.р., жена: Сивирчукова (Кожевникова) Татьяна Петровна 24.07.1987 г.р., дочь: Полина 23.09.2009 г.р., дочь: Вероника 03.01.2018 г.р.</t>
  </si>
  <si>
    <t>Волгоградская, Волгоград, им маршала Воронова, 6</t>
  </si>
  <si>
    <t>Начальник штаба - заместитель командира дивизиона</t>
  </si>
  <si>
    <t>МИНИГУЛОВ Ильнур Мулланурович</t>
  </si>
  <si>
    <t>Начальник разведки</t>
  </si>
  <si>
    <t>МАГОМЕДОВ Башир Исламович</t>
  </si>
  <si>
    <t>с. Тарумовка Тарумовског р-на Республики Дагестан</t>
  </si>
  <si>
    <t>рутулец</t>
  </si>
  <si>
    <t>отец: Магомедов Ислам Бабаевич 1979 г.р., мать: Цилгаева Зариет Саламовна 1979 г.р., жена: Рамазанова Камилла Фархатовна 16.06.1991 г.р., дочь: Фатима 01.12.2010 г.р., сын: Ислам 05.01.2016 г.р.</t>
  </si>
  <si>
    <t>Дагестан, Махачкала, О.Кошевого, 42Б</t>
  </si>
  <si>
    <t>8-961-670-77-26
8-988-024-11-96</t>
  </si>
  <si>
    <t>БПТУР</t>
  </si>
  <si>
    <t>Командир батареи противотанковых управляемых ракет</t>
  </si>
  <si>
    <t>ЩЕРБАКОВ Сергей Васильевич</t>
  </si>
  <si>
    <t>с. Червленое Светлоярского района Волгоградской области</t>
  </si>
  <si>
    <t>отец: Щербаков Василий Платонович 1954 г.р., мать: Щербакова (Васильева) Наталья Петровна 1964 г.р., жена: Щербакова Ирина Владимировна 11.12.1998 г.р.</t>
  </si>
  <si>
    <t>Волгоградская, Киреево, Привольная, 2/1</t>
  </si>
  <si>
    <t>Командир 1 взвода противотанковых управляемых ракет батареи противотанковых управляемых ракет</t>
  </si>
  <si>
    <t>КУЗНЕЦОВ Руслан Валерьевич</t>
  </si>
  <si>
    <t>Командир 2 взвода противотанковых управляемых ракет батареи противотанковых управляемых ракет</t>
  </si>
  <si>
    <t>ВАКАНТ (ВЫПУСКНИК ВГУ сентябрь)</t>
  </si>
  <si>
    <t>Командир 3 взвода противотанковых управляемых ракет батареи противотанковых управляемых ракет</t>
  </si>
  <si>
    <t>ВС</t>
  </si>
  <si>
    <t>Начальник связи-командир взвода управления дивизиона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</si>
</sst>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р.&quot;_-;\-* #,##0.00&quot;р.&quot;_-;_-* \-??&quot;р.&quot;_-;_-@_-"/>
    <numFmt numFmtId="165" formatCode="_-* #,##0.00_р_._-;\-* #,##0.00_р_._-;_-* \-??_р_._-;_-@_-"/>
  </numFmts>
  <fonts count="21" x14ac:knownFonts="1"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name val="Times New Roman"/>
      <family val="1"/>
      <charset val="204"/>
    </font>
    <font>
      <sz val="11"/>
      <color rgb="FF0061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92D05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rgb="FFFF0000"/>
      <name val="Tahoma"/>
      <family val="2"/>
      <charset val="204"/>
    </font>
    <font>
      <b/>
      <sz val="11"/>
      <color rgb="FFFF6600"/>
      <name val="Tahoma"/>
      <family val="2"/>
      <charset val="204"/>
    </font>
    <font>
      <b/>
      <sz val="16"/>
      <name val="Times New Roman"/>
      <family val="1"/>
      <charset val="204"/>
    </font>
    <font>
      <b/>
      <sz val="11"/>
      <color rgb="FF558ED5"/>
      <name val="Tahoma"/>
      <family val="2"/>
      <charset val="204"/>
    </font>
    <font>
      <b/>
      <sz val="18"/>
      <color rgb="FF1F497D"/>
      <name val="Cambria"/>
      <family val="2"/>
      <charset val="204"/>
    </font>
    <font>
      <sz val="12"/>
      <color rgb="FFC3D69B"/>
      <name val="Times New Roman"/>
      <family val="1"/>
      <charset val="204"/>
    </font>
    <font>
      <sz val="12"/>
      <color rgb="FF92D050"/>
      <name val="Times New Roman"/>
      <family val="1"/>
      <charset val="204"/>
    </font>
    <font>
      <b/>
      <sz val="12"/>
      <color rgb="FFC3D69B"/>
      <name val="Times New Roman"/>
      <family val="1"/>
      <charset val="204"/>
    </font>
    <font>
      <b/>
      <sz val="11"/>
      <color rgb="FF0070C0"/>
      <name val="Tahoma"/>
      <family val="2"/>
      <charset val="204"/>
    </font>
    <font>
      <sz val="11"/>
      <color rgb="FF000000"/>
      <name val="Calibri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92D050"/>
        <bgColor rgb="FF7FD7A7"/>
      </patternFill>
    </fill>
    <fill>
      <patternFill patternType="solid">
        <fgColor rgb="FF33CCCC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DEADA"/>
      </patternFill>
    </fill>
    <fill>
      <patternFill patternType="solid">
        <fgColor rgb="FFE6B9B8"/>
        <bgColor rgb="FFFFC7CE"/>
      </patternFill>
    </fill>
    <fill>
      <patternFill patternType="solid">
        <fgColor rgb="FFFDEADA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B9CDE5"/>
        <bgColor rgb="FFCCC1DA"/>
      </patternFill>
    </fill>
    <fill>
      <patternFill patternType="solid">
        <fgColor rgb="FFFFC000"/>
        <bgColor rgb="FFFF9900"/>
      </patternFill>
    </fill>
    <fill>
      <patternFill patternType="solid">
        <fgColor rgb="FF77933C"/>
        <bgColor rgb="FF808080"/>
      </patternFill>
    </fill>
    <fill>
      <patternFill patternType="solid">
        <fgColor rgb="FFC3D69B"/>
        <bgColor rgb="FFD7E4BD"/>
      </patternFill>
    </fill>
    <fill>
      <patternFill patternType="solid">
        <fgColor rgb="FFD99694"/>
        <bgColor rgb="FFE6B9B8"/>
      </patternFill>
    </fill>
    <fill>
      <patternFill patternType="solid">
        <fgColor rgb="FFC4BD97"/>
        <bgColor rgb="FFC3D69B"/>
      </patternFill>
    </fill>
    <fill>
      <patternFill patternType="solid">
        <fgColor rgb="FFCCECFF"/>
        <bgColor rgb="FFC6EFCE"/>
      </patternFill>
    </fill>
    <fill>
      <patternFill patternType="solid">
        <fgColor rgb="FFCCC1DA"/>
        <bgColor rgb="FFB9CDE5"/>
      </patternFill>
    </fill>
    <fill>
      <patternFill patternType="solid">
        <fgColor rgb="FF00B0F0"/>
        <bgColor rgb="FF33CCCC"/>
      </patternFill>
    </fill>
    <fill>
      <patternFill patternType="solid">
        <fgColor rgb="FF7FD7A7"/>
        <bgColor rgb="FF92D050"/>
      </patternFill>
    </fill>
    <fill>
      <patternFill patternType="solid">
        <fgColor rgb="FFD7E4BD"/>
        <bgColor rgb="FFC6EFCE"/>
      </patternFill>
    </fill>
    <fill>
      <patternFill patternType="solid">
        <fgColor rgb="FFFF0000"/>
        <bgColor rgb="FF9C0006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5">
    <xf numFmtId="0" fontId="0" fillId="0" borderId="0"/>
    <xf numFmtId="164" fontId="20" fillId="0" borderId="0" applyBorder="0" applyProtection="0"/>
    <xf numFmtId="164" fontId="20" fillId="0" borderId="0" applyBorder="0" applyProtection="0"/>
    <xf numFmtId="0" fontId="1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0" fillId="0" borderId="0"/>
    <xf numFmtId="9" fontId="20" fillId="0" borderId="0" applyBorder="0" applyProtection="0"/>
    <xf numFmtId="165" fontId="20" fillId="0" borderId="0" applyBorder="0" applyProtection="0"/>
    <xf numFmtId="0" fontId="5" fillId="2" borderId="0" applyBorder="0" applyProtection="0"/>
  </cellStyleXfs>
  <cellXfs count="273">
    <xf numFmtId="0" fontId="0" fillId="0" borderId="0" xfId="0"/>
    <xf numFmtId="0" fontId="4" fillId="0" borderId="1" xfId="24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7" fillId="0" borderId="1" xfId="24" applyFont="1" applyFill="1" applyBorder="1" applyAlignment="1" applyProtection="1">
      <alignment horizontal="center" vertical="center" wrapText="1"/>
    </xf>
    <xf numFmtId="0" fontId="7" fillId="0" borderId="2" xfId="24" applyFont="1" applyFill="1" applyBorder="1" applyAlignment="1" applyProtection="1">
      <alignment horizontal="center" vertical="center" wrapText="1"/>
    </xf>
    <xf numFmtId="49" fontId="7" fillId="0" borderId="1" xfId="24" applyNumberFormat="1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8" fillId="3" borderId="3" xfId="0" applyFont="1" applyFill="1" applyBorder="1" applyAlignment="1" applyProtection="1">
      <alignment horizontal="left" vertical="center" wrapText="1"/>
      <protection locked="0"/>
    </xf>
    <xf numFmtId="0" fontId="9" fillId="3" borderId="4" xfId="0" applyFont="1" applyFill="1" applyBorder="1" applyAlignment="1" applyProtection="1">
      <alignment horizontal="left" vertical="center" wrapText="1"/>
      <protection locked="0"/>
    </xf>
    <xf numFmtId="0" fontId="8" fillId="3" borderId="5" xfId="0" applyFont="1" applyFill="1" applyBorder="1" applyAlignment="1" applyProtection="1">
      <alignment horizontal="left" vertical="center"/>
      <protection locked="0"/>
    </xf>
    <xf numFmtId="0" fontId="10" fillId="3" borderId="5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vertical="center"/>
      <protection locked="0"/>
    </xf>
    <xf numFmtId="49" fontId="8" fillId="3" borderId="4" xfId="0" applyNumberFormat="1" applyFont="1" applyFill="1" applyBorder="1" applyAlignment="1" applyProtection="1">
      <alignment vertical="center"/>
      <protection locked="0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21" applyFont="1" applyBorder="1" applyAlignment="1" applyProtection="1">
      <alignment horizontal="center" vertical="center" wrapText="1"/>
    </xf>
    <xf numFmtId="0" fontId="10" fillId="0" borderId="1" xfId="21" applyFont="1" applyBorder="1" applyAlignment="1" applyProtection="1">
      <alignment horizontal="left" vertical="center" wrapText="1"/>
    </xf>
    <xf numFmtId="0" fontId="11" fillId="0" borderId="1" xfId="21" applyFont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7" fillId="0" borderId="1" xfId="21" applyFont="1" applyBorder="1" applyAlignment="1" applyProtection="1">
      <alignment horizontal="center" vertical="center" wrapText="1"/>
    </xf>
    <xf numFmtId="0" fontId="7" fillId="5" borderId="1" xfId="7" applyFont="1" applyFill="1" applyBorder="1" applyAlignment="1">
      <alignment horizontal="center" vertical="center" wrapText="1"/>
    </xf>
    <xf numFmtId="0" fontId="7" fillId="3" borderId="1" xfId="21" applyFont="1" applyFill="1" applyBorder="1" applyAlignment="1" applyProtection="1">
      <alignment horizontal="left" vertical="center" wrapText="1"/>
    </xf>
    <xf numFmtId="14" fontId="7" fillId="0" borderId="1" xfId="21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21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2" fillId="0" borderId="1" xfId="21" applyFont="1" applyBorder="1" applyAlignment="1" applyProtection="1">
      <alignment horizontal="center" vertical="center"/>
    </xf>
    <xf numFmtId="0" fontId="13" fillId="6" borderId="1" xfId="7" applyFont="1" applyFill="1" applyBorder="1" applyAlignment="1">
      <alignment horizontal="center" vertical="center" wrapText="1"/>
    </xf>
    <xf numFmtId="0" fontId="7" fillId="7" borderId="1" xfId="21" applyFont="1" applyFill="1" applyBorder="1" applyAlignment="1" applyProtection="1">
      <alignment horizontal="left" vertical="center" wrapText="1"/>
    </xf>
    <xf numFmtId="14" fontId="7" fillId="0" borderId="1" xfId="21" applyNumberFormat="1" applyFont="1" applyBorder="1" applyAlignment="1" applyProtection="1">
      <alignment horizontal="left" vertical="center" wrapText="1"/>
    </xf>
    <xf numFmtId="0" fontId="7" fillId="0" borderId="1" xfId="7" applyFont="1" applyBorder="1" applyAlignment="1">
      <alignment horizontal="center" vertical="center" wrapText="1"/>
    </xf>
    <xf numFmtId="0" fontId="7" fillId="8" borderId="1" xfId="21" applyFont="1" applyFill="1" applyBorder="1" applyAlignment="1" applyProtection="1">
      <alignment horizontal="left" vertical="center" wrapText="1"/>
    </xf>
    <xf numFmtId="0" fontId="14" fillId="0" borderId="1" xfId="21" applyFont="1" applyBorder="1" applyAlignment="1" applyProtection="1">
      <alignment horizontal="center" vertical="center"/>
    </xf>
    <xf numFmtId="0" fontId="7" fillId="0" borderId="1" xfId="21" applyFont="1" applyBorder="1" applyAlignment="1" applyProtection="1">
      <alignment vertical="center" wrapText="1"/>
    </xf>
    <xf numFmtId="0" fontId="7" fillId="0" borderId="1" xfId="21" applyFont="1" applyBorder="1" applyAlignment="1" applyProtection="1">
      <alignment horizontal="left" vertical="center" wrapText="1"/>
    </xf>
    <xf numFmtId="0" fontId="0" fillId="0" borderId="1" xfId="0" applyBorder="1"/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7" fillId="0" borderId="1" xfId="21" applyFont="1" applyBorder="1" applyAlignment="1" applyProtection="1">
      <alignment horizontal="left" vertical="center" wrapText="1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7" fillId="10" borderId="1" xfId="7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11" borderId="1" xfId="21" applyFont="1" applyFill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7" fillId="5" borderId="1" xfId="21" applyFont="1" applyFill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21" applyFont="1" applyFill="1" applyBorder="1" applyAlignment="1" applyProtection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21" applyFont="1" applyBorder="1" applyAlignment="1" applyProtection="1">
      <alignment horizontal="center" vertical="center" wrapText="1"/>
    </xf>
    <xf numFmtId="14" fontId="7" fillId="0" borderId="2" xfId="21" applyNumberFormat="1" applyFont="1" applyBorder="1" applyAlignment="1" applyProtection="1">
      <alignment horizontal="center" vertical="center" wrapText="1"/>
    </xf>
    <xf numFmtId="0" fontId="8" fillId="14" borderId="1" xfId="0" applyFont="1" applyFill="1" applyBorder="1" applyAlignment="1" applyProtection="1">
      <alignment horizontal="left" vertical="center"/>
      <protection locked="0"/>
    </xf>
    <xf numFmtId="0" fontId="8" fillId="14" borderId="1" xfId="0" applyFont="1" applyFill="1" applyBorder="1" applyAlignment="1" applyProtection="1">
      <alignment horizontal="left" vertical="center" wrapText="1"/>
      <protection locked="0"/>
    </xf>
    <xf numFmtId="0" fontId="8" fillId="14" borderId="3" xfId="0" applyFont="1" applyFill="1" applyBorder="1" applyAlignment="1" applyProtection="1">
      <alignment horizontal="left" vertical="center" wrapText="1"/>
      <protection locked="0"/>
    </xf>
    <xf numFmtId="0" fontId="16" fillId="14" borderId="4" xfId="0" applyFont="1" applyFill="1" applyBorder="1" applyAlignment="1" applyProtection="1">
      <alignment horizontal="left" vertical="center"/>
      <protection locked="0"/>
    </xf>
    <xf numFmtId="0" fontId="8" fillId="14" borderId="4" xfId="0" applyFont="1" applyFill="1" applyBorder="1" applyAlignment="1" applyProtection="1">
      <alignment horizontal="left" vertical="center"/>
      <protection locked="0"/>
    </xf>
    <xf numFmtId="0" fontId="8" fillId="14" borderId="5" xfId="0" applyFont="1" applyFill="1" applyBorder="1" applyAlignment="1" applyProtection="1">
      <alignment horizontal="center" vertical="center"/>
      <protection locked="0"/>
    </xf>
    <xf numFmtId="0" fontId="8" fillId="14" borderId="1" xfId="0" applyFont="1" applyFill="1" applyBorder="1" applyAlignment="1" applyProtection="1">
      <alignment vertical="center"/>
      <protection locked="0"/>
    </xf>
    <xf numFmtId="0" fontId="4" fillId="14" borderId="6" xfId="0" applyFont="1" applyFill="1" applyBorder="1" applyAlignment="1" applyProtection="1">
      <alignment horizontal="center" vertical="center"/>
      <protection locked="0"/>
    </xf>
    <xf numFmtId="0" fontId="4" fillId="14" borderId="7" xfId="0" applyFont="1" applyFill="1" applyBorder="1" applyAlignment="1" applyProtection="1">
      <alignment horizontal="center" vertical="center"/>
      <protection locked="0"/>
    </xf>
    <xf numFmtId="0" fontId="4" fillId="14" borderId="7" xfId="0" applyFont="1" applyFill="1" applyBorder="1" applyAlignment="1" applyProtection="1">
      <alignment horizontal="left" vertical="center"/>
      <protection locked="0"/>
    </xf>
    <xf numFmtId="0" fontId="8" fillId="14" borderId="7" xfId="0" applyFont="1" applyFill="1" applyBorder="1" applyAlignment="1" applyProtection="1">
      <alignment vertical="center"/>
      <protection locked="0"/>
    </xf>
    <xf numFmtId="0" fontId="8" fillId="14" borderId="7" xfId="0" applyFont="1" applyFill="1" applyBorder="1" applyAlignment="1" applyProtection="1">
      <alignment horizontal="left" vertical="center"/>
      <protection locked="0"/>
    </xf>
    <xf numFmtId="0" fontId="8" fillId="14" borderId="7" xfId="0" applyFont="1" applyFill="1" applyBorder="1" applyAlignment="1" applyProtection="1">
      <alignment horizontal="center" vertical="center"/>
      <protection locked="0"/>
    </xf>
    <xf numFmtId="0" fontId="8" fillId="14" borderId="0" xfId="0" applyFont="1" applyFill="1" applyBorder="1" applyAlignment="1" applyProtection="1">
      <alignment vertical="center"/>
      <protection locked="0"/>
    </xf>
    <xf numFmtId="49" fontId="8" fillId="14" borderId="0" xfId="0" applyNumberFormat="1" applyFont="1" applyFill="1" applyBorder="1" applyAlignment="1" applyProtection="1">
      <alignment vertical="center"/>
      <protection locked="0"/>
    </xf>
    <xf numFmtId="0" fontId="8" fillId="14" borderId="0" xfId="0" applyFont="1" applyFill="1" applyBorder="1" applyAlignment="1" applyProtection="1">
      <alignment horizontal="center" vertical="center"/>
      <protection locked="0"/>
    </xf>
    <xf numFmtId="0" fontId="0" fillId="14" borderId="0" xfId="0" applyFill="1"/>
    <xf numFmtId="14" fontId="7" fillId="0" borderId="6" xfId="21" applyNumberFormat="1" applyFont="1" applyBorder="1" applyAlignment="1" applyProtection="1">
      <alignment horizontal="center" vertical="center" wrapText="1"/>
    </xf>
    <xf numFmtId="0" fontId="6" fillId="15" borderId="1" xfId="0" applyFont="1" applyFill="1" applyBorder="1" applyAlignment="1" applyProtection="1">
      <alignment horizontal="left" vertical="center" wrapText="1"/>
      <protection locked="0"/>
    </xf>
    <xf numFmtId="0" fontId="7" fillId="0" borderId="3" xfId="21" applyFont="1" applyBorder="1" applyAlignment="1" applyProtection="1">
      <alignment horizontal="left" vertical="center" wrapText="1"/>
    </xf>
    <xf numFmtId="0" fontId="6" fillId="16" borderId="1" xfId="0" applyFont="1" applyFill="1" applyBorder="1" applyAlignment="1" applyProtection="1">
      <alignment horizontal="left" vertical="center" wrapText="1"/>
      <protection locked="0"/>
    </xf>
    <xf numFmtId="0" fontId="6" fillId="17" borderId="1" xfId="0" applyFont="1" applyFill="1" applyBorder="1" applyAlignment="1" applyProtection="1">
      <alignment horizontal="left" vertical="center" wrapText="1"/>
      <protection locked="0"/>
    </xf>
    <xf numFmtId="0" fontId="6" fillId="9" borderId="1" xfId="0" applyFont="1" applyFill="1" applyBorder="1" applyAlignment="1" applyProtection="1">
      <alignment horizontal="left" vertical="center" wrapText="1"/>
      <protection locked="0"/>
    </xf>
    <xf numFmtId="0" fontId="7" fillId="11" borderId="3" xfId="21" applyFont="1" applyFill="1" applyBorder="1" applyAlignment="1" applyProtection="1">
      <alignment horizontal="left" vertical="center" wrapText="1"/>
    </xf>
    <xf numFmtId="0" fontId="7" fillId="13" borderId="3" xfId="21" applyFont="1" applyFill="1" applyBorder="1" applyAlignment="1" applyProtection="1">
      <alignment horizontal="left" vertical="center" wrapText="1"/>
    </xf>
    <xf numFmtId="0" fontId="7" fillId="0" borderId="3" xfId="21" applyFont="1" applyBorder="1" applyAlignment="1" applyProtection="1">
      <alignment horizontal="left" vertical="center" wrapText="1"/>
    </xf>
    <xf numFmtId="0" fontId="6" fillId="18" borderId="1" xfId="0" applyFont="1" applyFill="1" applyBorder="1" applyAlignment="1" applyProtection="1">
      <alignment horizontal="left" vertical="center" wrapText="1"/>
      <protection locked="0"/>
    </xf>
    <xf numFmtId="0" fontId="7" fillId="8" borderId="3" xfId="21" applyFont="1" applyFill="1" applyBorder="1" applyAlignment="1" applyProtection="1">
      <alignment horizontal="left" vertical="center" wrapText="1"/>
    </xf>
    <xf numFmtId="0" fontId="7" fillId="19" borderId="1" xfId="21" applyFont="1" applyFill="1" applyBorder="1" applyAlignment="1" applyProtection="1">
      <alignment horizontal="left" vertical="center" wrapText="1"/>
    </xf>
    <xf numFmtId="0" fontId="7" fillId="7" borderId="3" xfId="21" applyFont="1" applyFill="1" applyBorder="1" applyAlignment="1" applyProtection="1">
      <alignment horizontal="left" vertical="center" wrapText="1"/>
    </xf>
    <xf numFmtId="0" fontId="6" fillId="13" borderId="0" xfId="0" applyFont="1" applyFill="1" applyBorder="1" applyAlignment="1">
      <alignment horizontal="left" vertical="center" wrapText="1"/>
    </xf>
    <xf numFmtId="0" fontId="12" fillId="0" borderId="2" xfId="21" applyFont="1" applyBorder="1" applyAlignment="1" applyProtection="1">
      <alignment horizontal="center" vertical="center"/>
    </xf>
    <xf numFmtId="0" fontId="6" fillId="9" borderId="2" xfId="0" applyFont="1" applyFill="1" applyBorder="1" applyAlignment="1" applyProtection="1">
      <alignment horizontal="left" vertical="center" wrapText="1"/>
      <protection locked="0"/>
    </xf>
    <xf numFmtId="0" fontId="8" fillId="14" borderId="4" xfId="0" applyFont="1" applyFill="1" applyBorder="1" applyAlignment="1" applyProtection="1">
      <alignment horizontal="left" vertical="center" wrapText="1"/>
      <protection locked="0"/>
    </xf>
    <xf numFmtId="0" fontId="8" fillId="14" borderId="4" xfId="0" applyFont="1" applyFill="1" applyBorder="1" applyAlignment="1" applyProtection="1">
      <alignment horizontal="center" vertical="center"/>
      <protection locked="0"/>
    </xf>
    <xf numFmtId="0" fontId="8" fillId="14" borderId="5" xfId="0" applyFont="1" applyFill="1" applyBorder="1" applyAlignment="1" applyProtection="1">
      <alignment vertical="center"/>
      <protection locked="0"/>
    </xf>
    <xf numFmtId="0" fontId="4" fillId="14" borderId="4" xfId="0" applyFont="1" applyFill="1" applyBorder="1" applyAlignment="1" applyProtection="1">
      <alignment horizontal="center" vertical="center"/>
      <protection locked="0"/>
    </xf>
    <xf numFmtId="0" fontId="4" fillId="14" borderId="4" xfId="0" applyFont="1" applyFill="1" applyBorder="1" applyAlignment="1" applyProtection="1">
      <alignment horizontal="left" vertical="center"/>
      <protection locked="0"/>
    </xf>
    <xf numFmtId="0" fontId="8" fillId="14" borderId="4" xfId="0" applyFont="1" applyFill="1" applyBorder="1" applyAlignment="1" applyProtection="1">
      <alignment vertical="center"/>
      <protection locked="0"/>
    </xf>
    <xf numFmtId="49" fontId="8" fillId="14" borderId="4" xfId="0" applyNumberFormat="1" applyFont="1" applyFill="1" applyBorder="1" applyAlignment="1" applyProtection="1">
      <alignment vertical="center"/>
      <protection locked="0"/>
    </xf>
    <xf numFmtId="0" fontId="14" fillId="0" borderId="6" xfId="21" applyFont="1" applyBorder="1" applyAlignment="1" applyProtection="1">
      <alignment horizontal="center" vertical="center"/>
    </xf>
    <xf numFmtId="0" fontId="6" fillId="17" borderId="6" xfId="0" applyFont="1" applyFill="1" applyBorder="1" applyAlignment="1" applyProtection="1">
      <alignment horizontal="left" vertical="center" wrapText="1"/>
      <protection locked="0"/>
    </xf>
    <xf numFmtId="0" fontId="6" fillId="9" borderId="5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14" fillId="0" borderId="2" xfId="21" applyFont="1" applyBorder="1" applyAlignment="1" applyProtection="1">
      <alignment horizontal="center" vertical="center"/>
    </xf>
    <xf numFmtId="0" fontId="7" fillId="0" borderId="2" xfId="7" applyFont="1" applyBorder="1" applyAlignment="1">
      <alignment horizontal="center" vertical="center" wrapText="1"/>
    </xf>
    <xf numFmtId="0" fontId="13" fillId="6" borderId="2" xfId="7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6" fillId="0" borderId="10" xfId="0" applyFont="1" applyBorder="1" applyAlignment="1">
      <alignment horizontal="center" vertical="center" wrapText="1"/>
    </xf>
    <xf numFmtId="0" fontId="0" fillId="0" borderId="0" xfId="0" applyBorder="1"/>
    <xf numFmtId="0" fontId="6" fillId="0" borderId="6" xfId="0" applyFont="1" applyBorder="1" applyAlignment="1">
      <alignment horizontal="center" vertical="center" wrapText="1"/>
    </xf>
    <xf numFmtId="0" fontId="12" fillId="0" borderId="6" xfId="21" applyFont="1" applyBorder="1" applyAlignment="1" applyProtection="1">
      <alignment horizontal="center" vertical="center"/>
    </xf>
    <xf numFmtId="0" fontId="6" fillId="15" borderId="6" xfId="0" applyFont="1" applyFill="1" applyBorder="1" applyAlignment="1" applyProtection="1">
      <alignment horizontal="left" vertical="center" wrapText="1"/>
      <protection locked="0"/>
    </xf>
    <xf numFmtId="0" fontId="7" fillId="0" borderId="6" xfId="7" applyFont="1" applyBorder="1" applyAlignment="1">
      <alignment horizontal="center" vertical="center" wrapText="1"/>
    </xf>
    <xf numFmtId="0" fontId="7" fillId="0" borderId="8" xfId="21" applyFont="1" applyBorder="1" applyAlignment="1" applyProtection="1">
      <alignment horizontal="left" vertical="center" wrapText="1"/>
    </xf>
    <xf numFmtId="14" fontId="7" fillId="0" borderId="6" xfId="21" applyNumberFormat="1" applyFont="1" applyBorder="1" applyAlignment="1" applyProtection="1">
      <alignment horizontal="left" vertical="center" wrapText="1"/>
    </xf>
    <xf numFmtId="0" fontId="7" fillId="0" borderId="6" xfId="21" applyFont="1" applyBorder="1" applyAlignment="1" applyProtection="1">
      <alignment vertical="center" wrapText="1"/>
    </xf>
    <xf numFmtId="0" fontId="6" fillId="9" borderId="6" xfId="0" applyFont="1" applyFill="1" applyBorder="1" applyAlignment="1" applyProtection="1">
      <alignment horizontal="center" vertical="center" wrapText="1"/>
      <protection locked="0"/>
    </xf>
    <xf numFmtId="0" fontId="7" fillId="0" borderId="9" xfId="21" applyFont="1" applyBorder="1" applyAlignment="1" applyProtection="1">
      <alignment horizontal="left" vertical="center" wrapText="1"/>
    </xf>
    <xf numFmtId="14" fontId="7" fillId="0" borderId="2" xfId="21" applyNumberFormat="1" applyFont="1" applyBorder="1" applyAlignment="1" applyProtection="1">
      <alignment horizontal="left" vertical="center" wrapText="1"/>
    </xf>
    <xf numFmtId="0" fontId="7" fillId="0" borderId="2" xfId="21" applyFont="1" applyBorder="1" applyAlignment="1" applyProtection="1">
      <alignment vertical="center" wrapText="1"/>
    </xf>
    <xf numFmtId="0" fontId="6" fillId="9" borderId="2" xfId="0" applyFont="1" applyFill="1" applyBorder="1" applyAlignment="1" applyProtection="1">
      <alignment horizontal="center" vertical="center" wrapText="1"/>
      <protection locked="0"/>
    </xf>
    <xf numFmtId="0" fontId="6" fillId="13" borderId="3" xfId="0" applyFont="1" applyFill="1" applyBorder="1" applyAlignment="1">
      <alignment vertical="center" wrapText="1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" xfId="0" applyFont="1" applyFill="1" applyBorder="1" applyAlignment="1" applyProtection="1">
      <alignment horizontal="left" vertical="center"/>
      <protection locked="0"/>
    </xf>
    <xf numFmtId="0" fontId="8" fillId="14" borderId="1" xfId="0" applyFont="1" applyFill="1" applyBorder="1" applyAlignment="1" applyProtection="1">
      <alignment horizontal="center" vertical="center"/>
      <protection locked="0"/>
    </xf>
    <xf numFmtId="0" fontId="7" fillId="7" borderId="3" xfId="21" applyFont="1" applyFill="1" applyBorder="1" applyAlignment="1" applyProtection="1">
      <alignment horizontal="left" vertical="center" wrapText="1"/>
    </xf>
    <xf numFmtId="0" fontId="6" fillId="13" borderId="0" xfId="0" applyFont="1" applyFill="1" applyBorder="1" applyAlignment="1">
      <alignment vertical="center" wrapText="1"/>
    </xf>
    <xf numFmtId="0" fontId="7" fillId="0" borderId="2" xfId="21" applyFont="1" applyBorder="1" applyAlignment="1" applyProtection="1">
      <alignment horizontal="left" vertical="center" wrapText="1"/>
    </xf>
    <xf numFmtId="0" fontId="7" fillId="0" borderId="2" xfId="21" applyFont="1" applyBorder="1" applyAlignment="1" applyProtection="1">
      <alignment horizontal="left" vertical="center" wrapText="1"/>
    </xf>
    <xf numFmtId="0" fontId="0" fillId="0" borderId="0" xfId="0" applyBorder="1"/>
    <xf numFmtId="0" fontId="7" fillId="5" borderId="3" xfId="7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1" borderId="6" xfId="21" applyFont="1" applyFill="1" applyBorder="1" applyAlignment="1" applyProtection="1">
      <alignment horizontal="left" vertical="center" wrapText="1"/>
    </xf>
    <xf numFmtId="0" fontId="7" fillId="0" borderId="2" xfId="20" applyFont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7" fillId="0" borderId="1" xfId="2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21" applyFont="1" applyBorder="1" applyAlignment="1" applyProtection="1">
      <alignment horizontal="center" vertical="center" wrapText="1"/>
    </xf>
    <xf numFmtId="14" fontId="7" fillId="0" borderId="7" xfId="21" applyNumberFormat="1" applyFont="1" applyBorder="1" applyAlignment="1" applyProtection="1">
      <alignment horizontal="center" vertical="center" wrapText="1"/>
    </xf>
    <xf numFmtId="0" fontId="14" fillId="0" borderId="7" xfId="21" applyFont="1" applyBorder="1" applyAlignment="1" applyProtection="1">
      <alignment horizontal="center" vertical="center"/>
    </xf>
    <xf numFmtId="0" fontId="7" fillId="0" borderId="7" xfId="7" applyFont="1" applyBorder="1" applyAlignment="1">
      <alignment horizontal="center" vertical="center" wrapText="1"/>
    </xf>
    <xf numFmtId="0" fontId="6" fillId="0" borderId="7" xfId="21" applyFont="1" applyBorder="1" applyAlignment="1" applyProtection="1">
      <alignment horizontal="left" vertical="center" wrapText="1"/>
    </xf>
    <xf numFmtId="14" fontId="6" fillId="0" borderId="7" xfId="21" applyNumberFormat="1" applyFont="1" applyBorder="1" applyAlignment="1" applyProtection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6" fillId="0" borderId="7" xfId="21" applyFont="1" applyBorder="1" applyAlignment="1" applyProtection="1">
      <alignment horizontal="center" vertical="center" wrapText="1"/>
    </xf>
    <xf numFmtId="0" fontId="7" fillId="7" borderId="7" xfId="0" applyFont="1" applyFill="1" applyBorder="1" applyAlignment="1">
      <alignment horizontal="left" wrapText="1"/>
    </xf>
    <xf numFmtId="0" fontId="6" fillId="0" borderId="6" xfId="21" applyFont="1" applyBorder="1" applyAlignment="1" applyProtection="1">
      <alignment vertical="center" wrapText="1"/>
    </xf>
    <xf numFmtId="0" fontId="7" fillId="20" borderId="2" xfId="21" applyFont="1" applyFill="1" applyBorder="1" applyAlignment="1" applyProtection="1">
      <alignment horizontal="center" vertical="center" wrapText="1"/>
    </xf>
    <xf numFmtId="0" fontId="7" fillId="0" borderId="6" xfId="21" applyFont="1" applyBorder="1" applyAlignment="1" applyProtection="1">
      <alignment horizontal="left" vertical="center" wrapText="1"/>
    </xf>
    <xf numFmtId="0" fontId="6" fillId="17" borderId="2" xfId="0" applyFont="1" applyFill="1" applyBorder="1" applyAlignment="1" applyProtection="1">
      <alignment horizontal="left" vertical="center" wrapText="1"/>
      <protection locked="0"/>
    </xf>
    <xf numFmtId="0" fontId="8" fillId="14" borderId="3" xfId="0" applyFont="1" applyFill="1" applyBorder="1" applyAlignment="1" applyProtection="1">
      <alignment horizontal="center" vertical="center"/>
      <protection locked="0"/>
    </xf>
    <xf numFmtId="0" fontId="7" fillId="6" borderId="1" xfId="21" applyFont="1" applyFill="1" applyBorder="1" applyAlignment="1" applyProtection="1">
      <alignment horizontal="center" vertical="center" wrapText="1"/>
    </xf>
    <xf numFmtId="0" fontId="7" fillId="8" borderId="2" xfId="21" applyFont="1" applyFill="1" applyBorder="1" applyAlignment="1" applyProtection="1">
      <alignment horizontal="left" vertical="center" wrapText="1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0" fontId="7" fillId="0" borderId="7" xfId="21" applyFont="1" applyBorder="1" applyAlignment="1" applyProtection="1">
      <alignment horizontal="left" vertical="center" wrapText="1"/>
    </xf>
    <xf numFmtId="14" fontId="7" fillId="0" borderId="7" xfId="21" applyNumberFormat="1" applyFont="1" applyBorder="1" applyAlignment="1" applyProtection="1">
      <alignment horizontal="left" vertical="center" wrapText="1"/>
    </xf>
    <xf numFmtId="0" fontId="7" fillId="0" borderId="7" xfId="21" applyFont="1" applyBorder="1" applyAlignment="1" applyProtection="1">
      <alignment vertical="center" wrapText="1"/>
    </xf>
    <xf numFmtId="0" fontId="8" fillId="3" borderId="9" xfId="0" applyFont="1" applyFill="1" applyBorder="1" applyAlignment="1" applyProtection="1">
      <alignment horizontal="left" vertical="center" wrapText="1"/>
      <protection locked="0"/>
    </xf>
    <xf numFmtId="0" fontId="17" fillId="3" borderId="11" xfId="0" applyFont="1" applyFill="1" applyBorder="1" applyAlignment="1" applyProtection="1">
      <alignment horizontal="left" vertical="center"/>
      <protection locked="0"/>
    </xf>
    <xf numFmtId="0" fontId="8" fillId="3" borderId="10" xfId="0" applyFont="1" applyFill="1" applyBorder="1" applyAlignment="1" applyProtection="1">
      <alignment horizontal="left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14" borderId="6" xfId="0" applyFont="1" applyFill="1" applyBorder="1" applyAlignment="1" applyProtection="1">
      <alignment horizontal="left" vertical="center"/>
      <protection locked="0"/>
    </xf>
    <xf numFmtId="0" fontId="8" fillId="14" borderId="8" xfId="0" applyFont="1" applyFill="1" applyBorder="1" applyAlignment="1" applyProtection="1">
      <alignment horizontal="left" vertical="center" wrapText="1"/>
      <protection locked="0"/>
    </xf>
    <xf numFmtId="0" fontId="18" fillId="14" borderId="4" xfId="0" applyFont="1" applyFill="1" applyBorder="1" applyAlignment="1" applyProtection="1">
      <alignment horizontal="left" vertical="center" wrapText="1"/>
      <protection locked="0"/>
    </xf>
    <xf numFmtId="0" fontId="8" fillId="14" borderId="12" xfId="0" applyFont="1" applyFill="1" applyBorder="1" applyAlignment="1" applyProtection="1">
      <alignment vertical="center"/>
      <protection locked="0"/>
    </xf>
    <xf numFmtId="0" fontId="4" fillId="14" borderId="6" xfId="0" applyFont="1" applyFill="1" applyBorder="1" applyAlignment="1" applyProtection="1">
      <alignment horizontal="left" vertical="center"/>
      <protection locked="0"/>
    </xf>
    <xf numFmtId="0" fontId="8" fillId="14" borderId="6" xfId="0" applyFont="1" applyFill="1" applyBorder="1" applyAlignment="1" applyProtection="1">
      <alignment vertical="center"/>
      <protection locked="0"/>
    </xf>
    <xf numFmtId="0" fontId="8" fillId="14" borderId="6" xfId="0" applyFont="1" applyFill="1" applyBorder="1" applyAlignment="1" applyProtection="1">
      <alignment horizontal="center" vertical="center"/>
      <protection locked="0"/>
    </xf>
    <xf numFmtId="0" fontId="8" fillId="14" borderId="13" xfId="0" applyFont="1" applyFill="1" applyBorder="1" applyAlignment="1" applyProtection="1">
      <alignment vertical="center"/>
      <protection locked="0"/>
    </xf>
    <xf numFmtId="49" fontId="8" fillId="14" borderId="13" xfId="0" applyNumberFormat="1" applyFont="1" applyFill="1" applyBorder="1" applyAlignment="1" applyProtection="1">
      <alignment vertical="center"/>
      <protection locked="0"/>
    </xf>
    <xf numFmtId="0" fontId="8" fillId="14" borderId="13" xfId="0" applyFont="1" applyFill="1" applyBorder="1" applyAlignment="1" applyProtection="1">
      <alignment horizontal="center" vertical="center"/>
      <protection locked="0"/>
    </xf>
    <xf numFmtId="0" fontId="7" fillId="0" borderId="6" xfId="21" applyFont="1" applyBorder="1" applyAlignment="1" applyProtection="1">
      <alignment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7" fillId="3" borderId="3" xfId="21" applyFont="1" applyFill="1" applyBorder="1" applyAlignment="1" applyProtection="1">
      <alignment horizontal="left" vertical="center" wrapText="1"/>
    </xf>
    <xf numFmtId="0" fontId="6" fillId="13" borderId="14" xfId="0" applyFont="1" applyFill="1" applyBorder="1" applyAlignment="1">
      <alignment horizontal="left" vertical="center" wrapText="1"/>
    </xf>
    <xf numFmtId="0" fontId="8" fillId="14" borderId="5" xfId="0" applyFont="1" applyFill="1" applyBorder="1" applyAlignment="1" applyProtection="1">
      <alignment horizontal="left" vertical="center"/>
      <protection locked="0"/>
    </xf>
    <xf numFmtId="0" fontId="7" fillId="7" borderId="6" xfId="7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7" fillId="11" borderId="2" xfId="21" applyFont="1" applyFill="1" applyBorder="1" applyAlignment="1" applyProtection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13" borderId="1" xfId="21" applyFont="1" applyFill="1" applyBorder="1" applyAlignment="1" applyProtection="1">
      <alignment horizontal="lef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 applyProtection="1">
      <alignment horizontal="left" vertical="center"/>
      <protection locked="0"/>
    </xf>
    <xf numFmtId="0" fontId="8" fillId="14" borderId="2" xfId="0" applyFont="1" applyFill="1" applyBorder="1" applyAlignment="1" applyProtection="1">
      <alignment vertical="center"/>
      <protection locked="0"/>
    </xf>
    <xf numFmtId="0" fontId="8" fillId="14" borderId="2" xfId="0" applyFont="1" applyFill="1" applyBorder="1" applyAlignment="1" applyProtection="1">
      <alignment horizontal="left" vertical="center"/>
      <protection locked="0"/>
    </xf>
    <xf numFmtId="0" fontId="8" fillId="14" borderId="2" xfId="0" applyFont="1" applyFill="1" applyBorder="1" applyAlignment="1" applyProtection="1">
      <alignment horizontal="center" vertical="center"/>
      <protection locked="0"/>
    </xf>
    <xf numFmtId="0" fontId="8" fillId="14" borderId="11" xfId="0" applyFont="1" applyFill="1" applyBorder="1" applyAlignment="1" applyProtection="1">
      <alignment vertical="center"/>
      <protection locked="0"/>
    </xf>
    <xf numFmtId="49" fontId="8" fillId="14" borderId="11" xfId="0" applyNumberFormat="1" applyFont="1" applyFill="1" applyBorder="1" applyAlignment="1" applyProtection="1">
      <alignment vertical="center"/>
      <protection locked="0"/>
    </xf>
    <xf numFmtId="0" fontId="8" fillId="14" borderId="11" xfId="0" applyFont="1" applyFill="1" applyBorder="1" applyAlignment="1" applyProtection="1">
      <alignment horizontal="center" vertical="center"/>
      <protection locked="0"/>
    </xf>
    <xf numFmtId="0" fontId="7" fillId="0" borderId="1" xfId="7" applyFont="1" applyBorder="1" applyAlignment="1">
      <alignment horizontal="left" vertical="center" wrapText="1"/>
    </xf>
    <xf numFmtId="0" fontId="7" fillId="0" borderId="6" xfId="21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center" vertical="top"/>
    </xf>
    <xf numFmtId="0" fontId="7" fillId="5" borderId="8" xfId="7" applyFont="1" applyFill="1" applyBorder="1" applyAlignment="1">
      <alignment horizontal="center" vertical="center" wrapText="1"/>
    </xf>
    <xf numFmtId="0" fontId="7" fillId="7" borderId="6" xfId="21" applyFont="1" applyFill="1" applyBorder="1" applyAlignment="1" applyProtection="1">
      <alignment horizontal="left" vertical="center" wrapText="1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7" fillId="0" borderId="14" xfId="21" applyFont="1" applyBorder="1" applyAlignment="1" applyProtection="1">
      <alignment horizontal="left" vertical="center" wrapText="1"/>
    </xf>
    <xf numFmtId="0" fontId="7" fillId="21" borderId="3" xfId="21" applyFont="1" applyFill="1" applyBorder="1" applyAlignment="1" applyProtection="1">
      <alignment horizontal="left" vertical="center" wrapText="1"/>
    </xf>
    <xf numFmtId="14" fontId="7" fillId="7" borderId="6" xfId="21" applyNumberFormat="1" applyFont="1" applyFill="1" applyBorder="1" applyAlignment="1" applyProtection="1">
      <alignment horizontal="center" vertical="center" wrapText="1"/>
    </xf>
    <xf numFmtId="14" fontId="7" fillId="7" borderId="1" xfId="21" applyNumberFormat="1" applyFont="1" applyFill="1" applyBorder="1" applyAlignment="1" applyProtection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 wrapText="1"/>
      <protection locked="0"/>
    </xf>
    <xf numFmtId="0" fontId="7" fillId="8" borderId="6" xfId="21" applyFont="1" applyFill="1" applyBorder="1" applyAlignment="1" applyProtection="1">
      <alignment horizontal="left" vertical="center" wrapText="1"/>
    </xf>
    <xf numFmtId="0" fontId="6" fillId="13" borderId="6" xfId="0" applyFont="1" applyFill="1" applyBorder="1" applyAlignment="1">
      <alignment vertical="center" wrapText="1"/>
    </xf>
    <xf numFmtId="0" fontId="14" fillId="7" borderId="1" xfId="21" applyFont="1" applyFill="1" applyBorder="1" applyAlignment="1" applyProtection="1">
      <alignment horizontal="center" vertical="center"/>
    </xf>
    <xf numFmtId="0" fontId="7" fillId="0" borderId="3" xfId="7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7" fillId="11" borderId="8" xfId="21" applyFont="1" applyFill="1" applyBorder="1" applyAlignment="1" applyProtection="1">
      <alignment horizontal="left" vertical="center" wrapText="1"/>
    </xf>
    <xf numFmtId="0" fontId="7" fillId="5" borderId="3" xfId="21" applyFont="1" applyFill="1" applyBorder="1" applyAlignment="1" applyProtection="1">
      <alignment horizontal="left" vertical="center" wrapText="1"/>
    </xf>
    <xf numFmtId="0" fontId="7" fillId="8" borderId="9" xfId="21" applyFont="1" applyFill="1" applyBorder="1" applyAlignment="1" applyProtection="1">
      <alignment horizontal="left" vertical="center" wrapText="1"/>
    </xf>
    <xf numFmtId="0" fontId="7" fillId="7" borderId="1" xfId="21" applyFont="1" applyFill="1" applyBorder="1" applyAlignment="1" applyProtection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/>
    <xf numFmtId="0" fontId="6" fillId="0" borderId="6" xfId="21" applyFont="1" applyBorder="1" applyAlignment="1" applyProtection="1">
      <alignment horizontal="center" vertical="center" wrapText="1"/>
    </xf>
    <xf numFmtId="0" fontId="6" fillId="0" borderId="2" xfId="21" applyFont="1" applyBorder="1" applyAlignment="1" applyProtection="1">
      <alignment horizontal="center" vertical="center" wrapText="1"/>
    </xf>
    <xf numFmtId="0" fontId="6" fillId="22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8" borderId="8" xfId="21" applyFont="1" applyFill="1" applyBorder="1" applyAlignment="1" applyProtection="1">
      <alignment horizontal="left" vertical="center" wrapText="1"/>
    </xf>
    <xf numFmtId="0" fontId="6" fillId="0" borderId="6" xfId="0" applyFont="1" applyBorder="1" applyAlignment="1">
      <alignment wrapText="1"/>
    </xf>
    <xf numFmtId="0" fontId="6" fillId="0" borderId="12" xfId="0" applyFont="1" applyBorder="1" applyAlignment="1">
      <alignment horizontal="center" vertical="center" wrapText="1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left" vertical="center"/>
      <protection locked="0"/>
    </xf>
    <xf numFmtId="0" fontId="8" fillId="3" borderId="4" xfId="0" applyFont="1" applyFill="1" applyBorder="1" applyAlignment="1" applyProtection="1">
      <alignment horizontal="left" vertical="center" wrapText="1"/>
      <protection locked="0"/>
    </xf>
    <xf numFmtId="0" fontId="17" fillId="3" borderId="11" xfId="21" applyFont="1" applyFill="1" applyBorder="1" applyAlignment="1" applyProtection="1">
      <alignment horizontal="center" vertical="center" wrapText="1"/>
    </xf>
    <xf numFmtId="0" fontId="8" fillId="14" borderId="6" xfId="0" applyFont="1" applyFill="1" applyBorder="1" applyAlignment="1" applyProtection="1">
      <alignment horizontal="left" vertical="center" wrapText="1"/>
      <protection locked="0"/>
    </xf>
    <xf numFmtId="0" fontId="16" fillId="14" borderId="4" xfId="21" applyFont="1" applyFill="1" applyBorder="1" applyAlignment="1" applyProtection="1">
      <alignment horizontal="center" vertical="center" wrapText="1"/>
    </xf>
    <xf numFmtId="0" fontId="8" fillId="14" borderId="12" xfId="0" applyFont="1" applyFill="1" applyBorder="1" applyAlignment="1" applyProtection="1">
      <alignment horizontal="center" vertical="center"/>
      <protection locked="0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7" fillId="13" borderId="2" xfId="21" applyFont="1" applyFill="1" applyBorder="1" applyAlignment="1" applyProtection="1">
      <alignment horizontal="left" vertical="center" wrapText="1"/>
    </xf>
    <xf numFmtId="0" fontId="7" fillId="0" borderId="9" xfId="7" applyFont="1" applyBorder="1" applyAlignment="1">
      <alignment horizontal="center" vertical="center" wrapText="1"/>
    </xf>
    <xf numFmtId="0" fontId="7" fillId="0" borderId="9" xfId="21" applyFont="1" applyBorder="1" applyAlignment="1" applyProtection="1">
      <alignment horizontal="left" vertical="center" wrapText="1"/>
    </xf>
    <xf numFmtId="0" fontId="14" fillId="22" borderId="1" xfId="21" applyFont="1" applyFill="1" applyBorder="1" applyAlignment="1" applyProtection="1">
      <alignment horizontal="center" vertical="center"/>
    </xf>
    <xf numFmtId="14" fontId="7" fillId="22" borderId="1" xfId="21" applyNumberFormat="1" applyFont="1" applyFill="1" applyBorder="1" applyAlignment="1" applyProtection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7" fillId="0" borderId="13" xfId="21" applyFont="1" applyBorder="1" applyAlignment="1" applyProtection="1">
      <alignment horizontal="center" vertical="center" wrapText="1"/>
    </xf>
    <xf numFmtId="0" fontId="7" fillId="0" borderId="13" xfId="21" applyFont="1" applyBorder="1" applyAlignment="1" applyProtection="1">
      <alignment vertical="center" wrapText="1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19" fillId="0" borderId="1" xfId="2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1" xfId="21" applyFont="1" applyBorder="1" applyAlignment="1" applyProtection="1">
      <alignment horizontal="center" vertical="center" wrapText="1"/>
    </xf>
    <xf numFmtId="0" fontId="17" fillId="3" borderId="4" xfId="2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left" vertical="center" wrapText="1"/>
      <protection locked="0"/>
    </xf>
    <xf numFmtId="0" fontId="7" fillId="0" borderId="0" xfId="21" applyFont="1" applyBorder="1" applyAlignment="1" applyProtection="1">
      <alignment horizontal="center" vertical="center" wrapText="1"/>
    </xf>
    <xf numFmtId="0" fontId="7" fillId="21" borderId="1" xfId="21" applyFont="1" applyFill="1" applyBorder="1" applyAlignment="1" applyProtection="1">
      <alignment horizontal="left" vertical="center" wrapText="1"/>
    </xf>
    <xf numFmtId="0" fontId="7" fillId="7" borderId="2" xfId="21" applyFont="1" applyFill="1" applyBorder="1" applyAlignment="1" applyProtection="1">
      <alignment horizontal="left" vertical="center" wrapText="1"/>
    </xf>
    <xf numFmtId="0" fontId="17" fillId="3" borderId="1" xfId="21" applyFont="1" applyFill="1" applyBorder="1" applyAlignment="1" applyProtection="1">
      <alignment horizontal="center" vertical="center" wrapText="1"/>
    </xf>
  </cellXfs>
  <cellStyles count="25">
    <cellStyle name="Excel Built-in Good" xfId="24"/>
    <cellStyle name="Денежный 2" xfId="1"/>
    <cellStyle name="Денежный 3" xfId="2"/>
    <cellStyle name="Обычный" xfId="0" builtinId="0"/>
    <cellStyle name="Обычный 10" xfId="3"/>
    <cellStyle name="Обычный 11" xfId="4"/>
    <cellStyle name="Обычный 12" xfId="5"/>
    <cellStyle name="Обычный 16" xfId="6"/>
    <cellStyle name="Обычный 2" xfId="7"/>
    <cellStyle name="Обычный 2 2" xfId="8"/>
    <cellStyle name="Обычный 2 2 2" xfId="9"/>
    <cellStyle name="Обычный 2 3" xfId="10"/>
    <cellStyle name="Обычный 2 4" xfId="11"/>
    <cellStyle name="Обычный 2 5" xfId="12"/>
    <cellStyle name="Обычный 3" xfId="13"/>
    <cellStyle name="Обычный 4" xfId="14"/>
    <cellStyle name="Обычный 5" xfId="15"/>
    <cellStyle name="Обычный 6" xfId="16"/>
    <cellStyle name="Обычный 7" xfId="17"/>
    <cellStyle name="Обычный 8" xfId="18"/>
    <cellStyle name="Обычный 9" xfId="19"/>
    <cellStyle name="Обычный_Лист1" xfId="20"/>
    <cellStyle name="Обычный_просто штат от 09.10." xfId="21"/>
    <cellStyle name="Процентный 2" xfId="22"/>
    <cellStyle name="Финансовый 2" xfId="2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7933C"/>
      <rgbColor rgb="FF800080"/>
      <rgbColor rgb="FF008080"/>
      <rgbColor rgb="FFCCC1DA"/>
      <rgbColor rgb="FF808080"/>
      <rgbColor rgb="FF9999FF"/>
      <rgbColor rgb="FF993366"/>
      <rgbColor rgb="FFFDEADA"/>
      <rgbColor rgb="FFCCECFF"/>
      <rgbColor rgb="FF660066"/>
      <rgbColor rgb="FFD99694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7E4BD"/>
      <rgbColor rgb="FFC6EFCE"/>
      <rgbColor rgb="FFC3D69B"/>
      <rgbColor rgb="FF7FD7A7"/>
      <rgbColor rgb="FFE6B9B8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558ED5"/>
      <rgbColor rgb="FFC4BD97"/>
      <rgbColor rgb="FF003366"/>
      <rgbColor rgb="FF00B050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I529"/>
  <sheetViews>
    <sheetView tabSelected="1" zoomScale="60" zoomScaleNormal="60" zoomScalePageLayoutView="65" workbookViewId="0">
      <pane ySplit="11" topLeftCell="A12" activePane="bottomLeft" state="frozen"/>
      <selection pane="bottomLeft" activeCell="K1" sqref="K1"/>
    </sheetView>
  </sheetViews>
  <sheetFormatPr defaultRowHeight="15" x14ac:dyDescent="0.25"/>
  <cols>
    <col min="1" max="1" width="8.5703125" customWidth="1"/>
    <col min="2" max="2" width="17" style="2" customWidth="1"/>
    <col min="3" max="3" width="30.42578125" customWidth="1"/>
    <col min="4" max="4" width="14.140625" customWidth="1"/>
    <col min="5" max="5" width="12.28515625" customWidth="1"/>
    <col min="6" max="6" width="9.140625" customWidth="1"/>
    <col min="7" max="9" width="12.28515625" customWidth="1"/>
    <col min="10" max="10" width="53.28515625" customWidth="1"/>
    <col min="11" max="12" width="16.42578125" customWidth="1"/>
    <col min="13" max="13" width="45.28515625" customWidth="1"/>
    <col min="14" max="14" width="14.28515625" customWidth="1"/>
    <col min="15" max="15" width="26.42578125" style="3" customWidth="1"/>
    <col min="16" max="16" width="20.140625" style="4" customWidth="1"/>
    <col min="17" max="17" width="13.140625" customWidth="1"/>
    <col min="18" max="18" width="51.42578125" style="5" customWidth="1"/>
    <col min="19" max="19" width="10.5703125" customWidth="1"/>
    <col min="20" max="20" width="39.7109375" style="5" customWidth="1"/>
    <col min="21" max="21" width="39.7109375" customWidth="1"/>
    <col min="22" max="968" width="8.85546875" customWidth="1"/>
    <col min="969" max="1025" width="9.140625" customWidth="1"/>
  </cols>
  <sheetData>
    <row r="1" spans="1:20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0" customHeight="1" x14ac:dyDescent="0.25">
      <c r="A3" s="6">
        <v>1</v>
      </c>
      <c r="B3" s="6">
        <v>2</v>
      </c>
      <c r="C3" s="6">
        <v>3</v>
      </c>
      <c r="D3" s="7">
        <v>4</v>
      </c>
      <c r="E3" s="7">
        <v>5</v>
      </c>
      <c r="F3" s="7"/>
      <c r="G3" s="6"/>
      <c r="H3" s="6">
        <v>7</v>
      </c>
      <c r="I3" s="6">
        <v>8</v>
      </c>
      <c r="J3" s="6">
        <v>11</v>
      </c>
      <c r="K3" s="6">
        <v>12</v>
      </c>
      <c r="L3" s="6">
        <v>13</v>
      </c>
      <c r="M3" s="6">
        <v>16</v>
      </c>
      <c r="N3" s="6">
        <v>18</v>
      </c>
      <c r="O3" s="6">
        <v>31</v>
      </c>
      <c r="P3" s="6">
        <v>43</v>
      </c>
      <c r="Q3" s="6">
        <v>44</v>
      </c>
      <c r="R3" s="6">
        <v>45</v>
      </c>
      <c r="S3" s="8" t="s">
        <v>19</v>
      </c>
      <c r="T3" s="8" t="s">
        <v>20</v>
      </c>
    </row>
    <row r="4" spans="1:20" ht="30" customHeight="1" x14ac:dyDescent="0.25">
      <c r="A4" s="9" t="e">
        <f>REPT(#REF!,#REF!)</f>
        <v>#REF!</v>
      </c>
      <c r="B4" s="10"/>
      <c r="C4" s="11"/>
      <c r="D4" s="11"/>
      <c r="E4" s="12" t="s">
        <v>21</v>
      </c>
      <c r="F4" s="13" t="e">
        <f>REPT(#REF!,#REF!)</f>
        <v>#REF!</v>
      </c>
      <c r="G4" s="14"/>
      <c r="H4" s="15"/>
      <c r="I4" s="15"/>
      <c r="J4" s="16"/>
      <c r="K4" s="16"/>
      <c r="L4" s="17"/>
      <c r="M4" s="18"/>
      <c r="N4" s="9"/>
      <c r="O4" s="19"/>
      <c r="P4" s="20"/>
      <c r="Q4" s="20"/>
      <c r="R4" s="20"/>
      <c r="S4" s="21"/>
      <c r="T4" s="19"/>
    </row>
    <row r="5" spans="1:20" ht="30" customHeight="1" x14ac:dyDescent="0.25">
      <c r="A5" s="22">
        <v>1</v>
      </c>
      <c r="B5" s="23"/>
      <c r="C5" s="24"/>
      <c r="D5" s="25"/>
      <c r="E5" s="26" t="s">
        <v>21</v>
      </c>
      <c r="F5" s="26"/>
      <c r="G5" s="27"/>
      <c r="H5" s="28" t="s">
        <v>22</v>
      </c>
      <c r="I5" s="29" t="s">
        <v>23</v>
      </c>
      <c r="J5" s="30" t="s">
        <v>24</v>
      </c>
      <c r="K5" s="31" t="s">
        <v>25</v>
      </c>
      <c r="L5" s="32" t="s">
        <v>26</v>
      </c>
      <c r="M5" s="33"/>
      <c r="N5" s="34"/>
      <c r="O5" s="30"/>
      <c r="P5" s="30"/>
      <c r="Q5" s="35"/>
      <c r="R5" s="30"/>
      <c r="S5" s="35"/>
      <c r="T5" s="36"/>
    </row>
    <row r="6" spans="1:20" ht="30" customHeight="1" x14ac:dyDescent="0.25">
      <c r="A6" s="24">
        <f t="shared" ref="A6:A37" si="0">A5+1</f>
        <v>2</v>
      </c>
      <c r="B6" s="23"/>
      <c r="C6" s="24"/>
      <c r="D6" s="24"/>
      <c r="E6" s="30" t="s">
        <v>21</v>
      </c>
      <c r="F6" s="30"/>
      <c r="G6" s="33"/>
      <c r="H6" s="37" t="s">
        <v>27</v>
      </c>
      <c r="I6" s="29" t="s">
        <v>28</v>
      </c>
      <c r="J6" s="30" t="s">
        <v>25</v>
      </c>
      <c r="K6" s="38">
        <v>1</v>
      </c>
      <c r="L6" s="39" t="s">
        <v>29</v>
      </c>
      <c r="M6" s="33"/>
      <c r="N6" s="40"/>
      <c r="O6" s="30"/>
      <c r="P6" s="30"/>
      <c r="Q6" s="35"/>
      <c r="R6" s="30"/>
      <c r="S6" s="35"/>
      <c r="T6" s="36"/>
    </row>
    <row r="7" spans="1:20" ht="30" customHeight="1" x14ac:dyDescent="0.25">
      <c r="A7" s="24">
        <f t="shared" si="0"/>
        <v>3</v>
      </c>
      <c r="B7" s="23"/>
      <c r="C7" s="24"/>
      <c r="D7" s="24"/>
      <c r="E7" s="30" t="s">
        <v>21</v>
      </c>
      <c r="F7" s="30"/>
      <c r="G7" s="33"/>
      <c r="H7" s="37" t="s">
        <v>27</v>
      </c>
      <c r="I7" s="29" t="s">
        <v>28</v>
      </c>
      <c r="J7" s="41" t="s">
        <v>25</v>
      </c>
      <c r="K7" s="41" t="s">
        <v>25</v>
      </c>
      <c r="L7" s="32" t="s">
        <v>30</v>
      </c>
      <c r="M7" s="33"/>
      <c r="N7" s="40"/>
      <c r="O7" s="24"/>
      <c r="P7" s="30"/>
      <c r="Q7" s="35"/>
      <c r="R7" s="30"/>
      <c r="S7" s="35"/>
      <c r="T7" s="36"/>
    </row>
    <row r="8" spans="1:20" ht="30" customHeight="1" x14ac:dyDescent="0.25">
      <c r="A8" s="24">
        <f t="shared" si="0"/>
        <v>4</v>
      </c>
      <c r="B8" s="23"/>
      <c r="C8" s="24" t="s">
        <v>31</v>
      </c>
      <c r="D8" s="24"/>
      <c r="E8" s="30" t="s">
        <v>21</v>
      </c>
      <c r="F8" s="30"/>
      <c r="G8" s="33"/>
      <c r="H8" s="37" t="s">
        <v>27</v>
      </c>
      <c r="I8" s="29" t="s">
        <v>32</v>
      </c>
      <c r="J8" s="41" t="s">
        <v>33</v>
      </c>
      <c r="K8" s="41" t="s">
        <v>33</v>
      </c>
      <c r="L8" s="42" t="s">
        <v>34</v>
      </c>
      <c r="M8" s="33">
        <v>29377</v>
      </c>
      <c r="N8" s="40" t="s">
        <v>35</v>
      </c>
      <c r="O8" s="30" t="s">
        <v>36</v>
      </c>
      <c r="P8" s="30" t="s">
        <v>37</v>
      </c>
      <c r="Q8" s="35" t="s">
        <v>38</v>
      </c>
      <c r="R8" s="30"/>
      <c r="S8" s="35" t="s">
        <v>39</v>
      </c>
      <c r="T8" s="24" t="s">
        <v>40</v>
      </c>
    </row>
    <row r="9" spans="1:20" ht="30" customHeight="1" x14ac:dyDescent="0.25">
      <c r="A9" s="24">
        <f t="shared" si="0"/>
        <v>5</v>
      </c>
      <c r="B9" s="23"/>
      <c r="C9" s="24"/>
      <c r="D9" s="24"/>
      <c r="E9" s="30" t="s">
        <v>21</v>
      </c>
      <c r="F9" s="30"/>
      <c r="G9" s="33"/>
      <c r="H9" s="43" t="s">
        <v>41</v>
      </c>
      <c r="I9" s="44" t="s">
        <v>42</v>
      </c>
      <c r="J9" s="30" t="s">
        <v>43</v>
      </c>
      <c r="K9" s="41" t="s">
        <v>44</v>
      </c>
      <c r="L9" s="45" t="s">
        <v>45</v>
      </c>
      <c r="M9" s="33">
        <v>34608</v>
      </c>
      <c r="N9" s="40" t="s">
        <v>46</v>
      </c>
      <c r="O9" s="30" t="s">
        <v>47</v>
      </c>
      <c r="P9" s="30" t="s">
        <v>48</v>
      </c>
      <c r="Q9" s="35" t="s">
        <v>49</v>
      </c>
      <c r="R9" s="46"/>
      <c r="S9" s="35" t="s">
        <v>50</v>
      </c>
      <c r="T9" s="47" t="s">
        <v>51</v>
      </c>
    </row>
    <row r="10" spans="1:20" ht="30" customHeight="1" x14ac:dyDescent="0.25">
      <c r="A10" s="24">
        <f t="shared" si="0"/>
        <v>6</v>
      </c>
      <c r="B10" s="23"/>
      <c r="C10" s="24"/>
      <c r="D10" s="24"/>
      <c r="E10" s="30" t="s">
        <v>21</v>
      </c>
      <c r="F10" s="30"/>
      <c r="G10" s="33"/>
      <c r="H10" s="28" t="s">
        <v>22</v>
      </c>
      <c r="I10" s="29" t="s">
        <v>52</v>
      </c>
      <c r="J10" s="30" t="s">
        <v>25</v>
      </c>
      <c r="K10" s="41" t="s">
        <v>25</v>
      </c>
      <c r="L10" s="32" t="s">
        <v>53</v>
      </c>
      <c r="M10" s="33">
        <v>29288</v>
      </c>
      <c r="N10" s="40"/>
      <c r="O10" s="30"/>
      <c r="P10" s="30"/>
      <c r="Q10" s="35"/>
      <c r="R10" s="30"/>
      <c r="S10" s="35"/>
      <c r="T10" s="36"/>
    </row>
    <row r="11" spans="1:20" ht="30" customHeight="1" x14ac:dyDescent="0.25">
      <c r="A11" s="24">
        <f t="shared" si="0"/>
        <v>7</v>
      </c>
      <c r="B11" s="23"/>
      <c r="C11" s="24"/>
      <c r="D11" s="24"/>
      <c r="E11" s="30" t="s">
        <v>21</v>
      </c>
      <c r="F11" s="30"/>
      <c r="G11" s="33"/>
      <c r="H11" s="37" t="s">
        <v>27</v>
      </c>
      <c r="I11" s="44" t="s">
        <v>54</v>
      </c>
      <c r="J11" s="30" t="s">
        <v>25</v>
      </c>
      <c r="K11" s="38">
        <v>2</v>
      </c>
      <c r="L11" s="39" t="s">
        <v>29</v>
      </c>
      <c r="M11" s="46"/>
      <c r="N11" s="48"/>
      <c r="O11" s="49"/>
      <c r="P11" s="46"/>
      <c r="Q11" s="50"/>
      <c r="R11" s="46"/>
      <c r="S11" s="50"/>
      <c r="T11" s="51"/>
    </row>
    <row r="12" spans="1:20" ht="30" customHeight="1" x14ac:dyDescent="0.25">
      <c r="A12" s="24">
        <f t="shared" si="0"/>
        <v>8</v>
      </c>
      <c r="B12" s="23"/>
      <c r="C12" s="24"/>
      <c r="D12" s="24"/>
      <c r="E12" s="30" t="s">
        <v>21</v>
      </c>
      <c r="F12" s="30"/>
      <c r="G12" s="33"/>
      <c r="H12" s="37" t="s">
        <v>27</v>
      </c>
      <c r="I12" s="44" t="s">
        <v>55</v>
      </c>
      <c r="J12" s="41" t="s">
        <v>33</v>
      </c>
      <c r="K12" s="41" t="s">
        <v>33</v>
      </c>
      <c r="L12" s="52" t="s">
        <v>56</v>
      </c>
      <c r="M12" s="33">
        <v>29062</v>
      </c>
      <c r="N12" s="40" t="s">
        <v>57</v>
      </c>
      <c r="O12" s="30" t="s">
        <v>47</v>
      </c>
      <c r="P12" s="30" t="s">
        <v>48</v>
      </c>
      <c r="Q12" s="35" t="s">
        <v>58</v>
      </c>
      <c r="R12" s="30">
        <v>3</v>
      </c>
      <c r="S12" s="35" t="s">
        <v>59</v>
      </c>
      <c r="T12" s="47" t="s">
        <v>60</v>
      </c>
    </row>
    <row r="13" spans="1:20" ht="30" customHeight="1" x14ac:dyDescent="0.25">
      <c r="A13" s="24">
        <f t="shared" si="0"/>
        <v>9</v>
      </c>
      <c r="B13" s="23"/>
      <c r="C13" s="24"/>
      <c r="D13" s="24"/>
      <c r="E13" s="30" t="s">
        <v>21</v>
      </c>
      <c r="F13" s="30"/>
      <c r="G13" s="33"/>
      <c r="H13" s="37" t="s">
        <v>27</v>
      </c>
      <c r="I13" s="44" t="s">
        <v>61</v>
      </c>
      <c r="J13" s="30" t="s">
        <v>43</v>
      </c>
      <c r="K13" s="30" t="s">
        <v>43</v>
      </c>
      <c r="L13" s="52" t="s">
        <v>62</v>
      </c>
      <c r="M13" s="33">
        <v>31812</v>
      </c>
      <c r="N13" s="40" t="s">
        <v>63</v>
      </c>
      <c r="O13" s="30" t="s">
        <v>47</v>
      </c>
      <c r="P13" s="30" t="s">
        <v>48</v>
      </c>
      <c r="Q13" s="35" t="s">
        <v>64</v>
      </c>
      <c r="R13" s="30"/>
      <c r="S13" s="35" t="s">
        <v>65</v>
      </c>
      <c r="T13" s="47" t="s">
        <v>66</v>
      </c>
    </row>
    <row r="14" spans="1:20" ht="30" customHeight="1" x14ac:dyDescent="0.25">
      <c r="A14" s="24">
        <f t="shared" si="0"/>
        <v>10</v>
      </c>
      <c r="B14" s="23"/>
      <c r="C14" s="24"/>
      <c r="D14" s="24"/>
      <c r="E14" s="30" t="s">
        <v>21</v>
      </c>
      <c r="F14" s="30"/>
      <c r="G14" s="33"/>
      <c r="H14" s="37" t="s">
        <v>27</v>
      </c>
      <c r="I14" s="44" t="s">
        <v>67</v>
      </c>
      <c r="J14" s="30" t="s">
        <v>68</v>
      </c>
      <c r="K14" s="30" t="s">
        <v>68</v>
      </c>
      <c r="L14" s="45" t="s">
        <v>69</v>
      </c>
      <c r="M14" s="33">
        <v>32017</v>
      </c>
      <c r="N14" s="40" t="s">
        <v>70</v>
      </c>
      <c r="O14" s="30" t="s">
        <v>47</v>
      </c>
      <c r="P14" s="30" t="s">
        <v>37</v>
      </c>
      <c r="Q14" s="35" t="s">
        <v>71</v>
      </c>
      <c r="R14" s="30"/>
      <c r="S14" s="35" t="s">
        <v>72</v>
      </c>
      <c r="T14" s="53" t="s">
        <v>73</v>
      </c>
    </row>
    <row r="15" spans="1:20" ht="30" customHeight="1" x14ac:dyDescent="0.25">
      <c r="A15" s="24">
        <f t="shared" si="0"/>
        <v>11</v>
      </c>
      <c r="B15" s="23"/>
      <c r="C15" s="24"/>
      <c r="D15" s="24"/>
      <c r="E15" s="30" t="s">
        <v>21</v>
      </c>
      <c r="F15" s="30"/>
      <c r="G15" s="33"/>
      <c r="H15" s="37" t="s">
        <v>27</v>
      </c>
      <c r="I15" s="44" t="s">
        <v>74</v>
      </c>
      <c r="J15" s="30" t="s">
        <v>33</v>
      </c>
      <c r="K15" s="30" t="s">
        <v>33</v>
      </c>
      <c r="L15" s="45" t="s">
        <v>75</v>
      </c>
      <c r="M15" s="33">
        <v>26365</v>
      </c>
      <c r="N15" s="40" t="s">
        <v>76</v>
      </c>
      <c r="O15" s="30" t="s">
        <v>47</v>
      </c>
      <c r="P15" s="30" t="s">
        <v>48</v>
      </c>
      <c r="Q15" s="35" t="s">
        <v>77</v>
      </c>
      <c r="R15" s="30">
        <v>2</v>
      </c>
      <c r="S15" s="35" t="s">
        <v>78</v>
      </c>
      <c r="T15" s="24" t="s">
        <v>79</v>
      </c>
    </row>
    <row r="16" spans="1:20" ht="30" customHeight="1" x14ac:dyDescent="0.25">
      <c r="A16" s="24">
        <f t="shared" si="0"/>
        <v>12</v>
      </c>
      <c r="B16" s="23"/>
      <c r="C16" s="24"/>
      <c r="D16" s="24"/>
      <c r="E16" s="30" t="s">
        <v>21</v>
      </c>
      <c r="F16" s="30"/>
      <c r="G16" s="33"/>
      <c r="H16" s="37" t="s">
        <v>27</v>
      </c>
      <c r="I16" s="44" t="s">
        <v>80</v>
      </c>
      <c r="J16" s="30" t="s">
        <v>68</v>
      </c>
      <c r="K16" s="30" t="s">
        <v>68</v>
      </c>
      <c r="L16" s="45" t="s">
        <v>81</v>
      </c>
      <c r="M16" s="33">
        <v>30408</v>
      </c>
      <c r="N16" s="40" t="s">
        <v>82</v>
      </c>
      <c r="O16" s="30" t="s">
        <v>47</v>
      </c>
      <c r="P16" s="30" t="s">
        <v>48</v>
      </c>
      <c r="Q16" s="35" t="s">
        <v>83</v>
      </c>
      <c r="R16" s="30">
        <v>3</v>
      </c>
      <c r="S16" s="35" t="s">
        <v>84</v>
      </c>
      <c r="T16" s="24" t="s">
        <v>85</v>
      </c>
    </row>
    <row r="17" spans="1:1023" ht="30" customHeight="1" x14ac:dyDescent="0.25">
      <c r="A17" s="24">
        <f t="shared" si="0"/>
        <v>13</v>
      </c>
      <c r="B17" s="23"/>
      <c r="C17" s="24"/>
      <c r="D17" s="46"/>
      <c r="E17" s="30" t="s">
        <v>21</v>
      </c>
      <c r="F17" s="30"/>
      <c r="G17" s="33"/>
      <c r="H17" s="37" t="s">
        <v>27</v>
      </c>
      <c r="I17" s="44" t="s">
        <v>86</v>
      </c>
      <c r="J17" s="54" t="s">
        <v>68</v>
      </c>
      <c r="K17" s="30" t="s">
        <v>68</v>
      </c>
      <c r="L17" s="45" t="s">
        <v>87</v>
      </c>
      <c r="M17" s="33">
        <v>29878</v>
      </c>
      <c r="N17" s="48"/>
      <c r="O17" s="49"/>
      <c r="P17" s="46"/>
      <c r="Q17" s="50"/>
      <c r="R17" s="46"/>
      <c r="S17" s="50"/>
      <c r="T17" s="51"/>
    </row>
    <row r="18" spans="1:1023" ht="30" customHeight="1" x14ac:dyDescent="0.25">
      <c r="A18" s="24">
        <f t="shared" si="0"/>
        <v>14</v>
      </c>
      <c r="B18" s="23"/>
      <c r="C18" s="24"/>
      <c r="D18" s="24"/>
      <c r="E18" s="30" t="s">
        <v>21</v>
      </c>
      <c r="F18" s="30"/>
      <c r="G18" s="33"/>
      <c r="H18" s="37"/>
      <c r="I18" s="44" t="s">
        <v>88</v>
      </c>
      <c r="J18" s="41" t="s">
        <v>68</v>
      </c>
      <c r="K18" s="41" t="s">
        <v>68</v>
      </c>
      <c r="L18" s="45" t="s">
        <v>89</v>
      </c>
      <c r="M18" s="33">
        <v>32333</v>
      </c>
      <c r="N18" s="40" t="s">
        <v>90</v>
      </c>
      <c r="O18" s="30" t="s">
        <v>47</v>
      </c>
      <c r="P18" s="30" t="s">
        <v>48</v>
      </c>
      <c r="Q18" s="35" t="s">
        <v>91</v>
      </c>
      <c r="R18" s="30">
        <v>1</v>
      </c>
      <c r="S18" s="35" t="s">
        <v>72</v>
      </c>
      <c r="T18" s="53" t="s">
        <v>92</v>
      </c>
    </row>
    <row r="19" spans="1:1023" ht="30" customHeight="1" x14ac:dyDescent="0.25">
      <c r="A19" s="24">
        <f t="shared" si="0"/>
        <v>15</v>
      </c>
      <c r="B19" s="23" t="s">
        <v>93</v>
      </c>
      <c r="C19" s="24"/>
      <c r="D19" s="24"/>
      <c r="E19" s="30" t="s">
        <v>21</v>
      </c>
      <c r="F19" s="30"/>
      <c r="G19" s="33"/>
      <c r="H19" s="28" t="s">
        <v>22</v>
      </c>
      <c r="I19" s="44" t="s">
        <v>94</v>
      </c>
      <c r="J19" s="30" t="s">
        <v>33</v>
      </c>
      <c r="K19" s="30" t="s">
        <v>43</v>
      </c>
      <c r="L19" s="45" t="s">
        <v>95</v>
      </c>
      <c r="M19" s="55">
        <v>27688</v>
      </c>
      <c r="N19" s="40" t="s">
        <v>96</v>
      </c>
      <c r="O19" s="24" t="s">
        <v>47</v>
      </c>
      <c r="P19" s="30" t="s">
        <v>48</v>
      </c>
      <c r="Q19" s="35" t="s">
        <v>97</v>
      </c>
      <c r="R19" s="30">
        <v>1</v>
      </c>
      <c r="S19" s="35" t="s">
        <v>84</v>
      </c>
      <c r="T19" s="24" t="s">
        <v>98</v>
      </c>
    </row>
    <row r="20" spans="1:1023" ht="30" customHeight="1" x14ac:dyDescent="0.25">
      <c r="A20" s="24">
        <f t="shared" si="0"/>
        <v>16</v>
      </c>
      <c r="B20" s="23" t="s">
        <v>93</v>
      </c>
      <c r="C20" s="24"/>
      <c r="D20" s="24"/>
      <c r="E20" s="30" t="s">
        <v>21</v>
      </c>
      <c r="F20" s="30"/>
      <c r="G20" s="33"/>
      <c r="H20" s="28" t="s">
        <v>22</v>
      </c>
      <c r="I20" s="44" t="s">
        <v>99</v>
      </c>
      <c r="J20" s="30" t="s">
        <v>68</v>
      </c>
      <c r="K20" s="41" t="s">
        <v>100</v>
      </c>
      <c r="L20" s="42" t="s">
        <v>101</v>
      </c>
      <c r="M20" s="33">
        <v>35089</v>
      </c>
      <c r="N20" s="40" t="s">
        <v>102</v>
      </c>
      <c r="O20" s="30" t="s">
        <v>47</v>
      </c>
      <c r="P20" s="30" t="s">
        <v>37</v>
      </c>
      <c r="Q20" s="35" t="s">
        <v>103</v>
      </c>
      <c r="R20" s="30"/>
      <c r="S20" s="35" t="s">
        <v>104</v>
      </c>
      <c r="T20" s="24" t="s">
        <v>105</v>
      </c>
    </row>
    <row r="21" spans="1:1023" ht="30" customHeight="1" x14ac:dyDescent="0.25">
      <c r="A21" s="24">
        <f t="shared" si="0"/>
        <v>17</v>
      </c>
      <c r="B21" s="23"/>
      <c r="C21" s="24"/>
      <c r="D21" s="24"/>
      <c r="E21" s="30" t="s">
        <v>21</v>
      </c>
      <c r="F21" s="30"/>
      <c r="G21" s="33"/>
      <c r="H21" s="37" t="s">
        <v>27</v>
      </c>
      <c r="I21" s="44" t="s">
        <v>106</v>
      </c>
      <c r="J21" s="30" t="s">
        <v>33</v>
      </c>
      <c r="K21" s="41" t="s">
        <v>43</v>
      </c>
      <c r="L21" s="45" t="s">
        <v>107</v>
      </c>
      <c r="M21" s="33">
        <v>31991</v>
      </c>
      <c r="N21" s="40" t="s">
        <v>108</v>
      </c>
      <c r="O21" s="30" t="s">
        <v>47</v>
      </c>
      <c r="P21" s="30" t="s">
        <v>37</v>
      </c>
      <c r="Q21" s="35" t="s">
        <v>109</v>
      </c>
      <c r="R21" s="30"/>
      <c r="S21" s="35" t="s">
        <v>110</v>
      </c>
      <c r="T21" s="24" t="s">
        <v>111</v>
      </c>
    </row>
    <row r="22" spans="1:1023" ht="30" customHeight="1" x14ac:dyDescent="0.25">
      <c r="A22" s="24">
        <f t="shared" si="0"/>
        <v>18</v>
      </c>
      <c r="B22" s="23"/>
      <c r="C22" s="24"/>
      <c r="D22" s="24"/>
      <c r="E22" s="30" t="s">
        <v>21</v>
      </c>
      <c r="F22" s="30"/>
      <c r="G22" s="33"/>
      <c r="H22" s="37" t="s">
        <v>27</v>
      </c>
      <c r="I22" s="44" t="s">
        <v>112</v>
      </c>
      <c r="J22" s="41" t="s">
        <v>43</v>
      </c>
      <c r="K22" s="30" t="s">
        <v>68</v>
      </c>
      <c r="L22" s="45" t="s">
        <v>113</v>
      </c>
      <c r="M22" s="33">
        <v>31286</v>
      </c>
      <c r="N22" s="40" t="s">
        <v>114</v>
      </c>
      <c r="O22" s="30" t="s">
        <v>47</v>
      </c>
      <c r="P22" s="30" t="s">
        <v>48</v>
      </c>
      <c r="Q22" s="35" t="s">
        <v>115</v>
      </c>
      <c r="R22" s="30">
        <v>1</v>
      </c>
      <c r="S22" s="35" t="s">
        <v>116</v>
      </c>
      <c r="T22" s="24" t="s">
        <v>117</v>
      </c>
    </row>
    <row r="23" spans="1:1023" ht="30" customHeight="1" x14ac:dyDescent="0.25">
      <c r="A23" s="24">
        <f t="shared" si="0"/>
        <v>19</v>
      </c>
      <c r="B23" s="23"/>
      <c r="C23" s="24"/>
      <c r="D23" s="24"/>
      <c r="E23" s="30" t="s">
        <v>21</v>
      </c>
      <c r="F23" s="30"/>
      <c r="G23" s="33"/>
      <c r="H23" s="37" t="s">
        <v>27</v>
      </c>
      <c r="I23" s="44" t="s">
        <v>112</v>
      </c>
      <c r="J23" s="41" t="s">
        <v>43</v>
      </c>
      <c r="K23" s="41" t="s">
        <v>44</v>
      </c>
      <c r="L23" s="56" t="s">
        <v>118</v>
      </c>
      <c r="M23" s="33">
        <v>35334</v>
      </c>
      <c r="N23" s="40" t="s">
        <v>119</v>
      </c>
      <c r="O23" s="30" t="s">
        <v>47</v>
      </c>
      <c r="P23" s="30" t="s">
        <v>37</v>
      </c>
      <c r="Q23" s="35" t="s">
        <v>120</v>
      </c>
      <c r="R23" s="30"/>
      <c r="S23" s="35" t="s">
        <v>84</v>
      </c>
      <c r="T23" s="53" t="s">
        <v>121</v>
      </c>
    </row>
    <row r="24" spans="1:1023" ht="30" customHeight="1" x14ac:dyDescent="0.25">
      <c r="A24" s="24">
        <f t="shared" si="0"/>
        <v>20</v>
      </c>
      <c r="B24" s="23"/>
      <c r="C24" s="24"/>
      <c r="D24" s="46"/>
      <c r="E24" s="30" t="s">
        <v>21</v>
      </c>
      <c r="F24" s="30"/>
      <c r="G24" s="33"/>
      <c r="H24" s="37" t="s">
        <v>27</v>
      </c>
      <c r="I24" s="44" t="s">
        <v>112</v>
      </c>
      <c r="J24" s="41" t="s">
        <v>43</v>
      </c>
      <c r="K24" s="41" t="s">
        <v>44</v>
      </c>
      <c r="L24" s="56" t="s">
        <v>122</v>
      </c>
      <c r="M24" s="33">
        <v>34342</v>
      </c>
      <c r="N24" s="40" t="s">
        <v>123</v>
      </c>
      <c r="O24" s="30" t="s">
        <v>47</v>
      </c>
      <c r="P24" s="30" t="s">
        <v>48</v>
      </c>
      <c r="Q24" s="35" t="s">
        <v>124</v>
      </c>
      <c r="R24" s="30"/>
      <c r="S24" s="35" t="s">
        <v>125</v>
      </c>
      <c r="T24" s="53" t="s">
        <v>126</v>
      </c>
    </row>
    <row r="25" spans="1:1023" ht="30" customHeight="1" x14ac:dyDescent="0.25">
      <c r="A25" s="24">
        <f t="shared" si="0"/>
        <v>21</v>
      </c>
      <c r="B25" s="23"/>
      <c r="C25" s="24"/>
      <c r="D25" s="24"/>
      <c r="E25" s="30" t="s">
        <v>21</v>
      </c>
      <c r="F25" s="30"/>
      <c r="G25" s="33"/>
      <c r="H25" s="37" t="s">
        <v>27</v>
      </c>
      <c r="I25" s="44" t="s">
        <v>127</v>
      </c>
      <c r="J25" s="41" t="s">
        <v>33</v>
      </c>
      <c r="K25" s="41" t="s">
        <v>33</v>
      </c>
      <c r="L25" s="45" t="s">
        <v>128</v>
      </c>
      <c r="M25" s="33">
        <v>26304</v>
      </c>
      <c r="N25" s="40" t="s">
        <v>129</v>
      </c>
      <c r="O25" s="30" t="s">
        <v>47</v>
      </c>
      <c r="P25" s="30" t="s">
        <v>48</v>
      </c>
      <c r="Q25" s="35" t="s">
        <v>130</v>
      </c>
      <c r="R25" s="30"/>
      <c r="S25" s="35" t="s">
        <v>131</v>
      </c>
      <c r="T25" s="24" t="s">
        <v>132</v>
      </c>
    </row>
    <row r="26" spans="1:1023" ht="30" customHeight="1" x14ac:dyDescent="0.25">
      <c r="A26" s="24">
        <f t="shared" si="0"/>
        <v>22</v>
      </c>
      <c r="B26" s="23"/>
      <c r="C26" s="24"/>
      <c r="D26" s="24"/>
      <c r="E26" s="30" t="s">
        <v>21</v>
      </c>
      <c r="F26" s="30"/>
      <c r="G26" s="33"/>
      <c r="H26" s="37" t="s">
        <v>27</v>
      </c>
      <c r="I26" s="44" t="s">
        <v>133</v>
      </c>
      <c r="J26" s="30" t="s">
        <v>68</v>
      </c>
      <c r="K26" s="41" t="s">
        <v>68</v>
      </c>
      <c r="L26" s="45" t="s">
        <v>134</v>
      </c>
      <c r="M26" s="33">
        <v>32838</v>
      </c>
      <c r="N26" s="40" t="s">
        <v>135</v>
      </c>
      <c r="O26" s="30" t="s">
        <v>47</v>
      </c>
      <c r="P26" s="30" t="s">
        <v>37</v>
      </c>
      <c r="Q26" s="57" t="s">
        <v>136</v>
      </c>
      <c r="R26" s="58"/>
      <c r="S26" s="35" t="s">
        <v>137</v>
      </c>
      <c r="T26" s="24" t="s">
        <v>138</v>
      </c>
    </row>
    <row r="27" spans="1:1023" ht="30" customHeight="1" x14ac:dyDescent="0.25">
      <c r="A27" s="24">
        <f t="shared" si="0"/>
        <v>23</v>
      </c>
      <c r="B27" s="23"/>
      <c r="C27" s="24"/>
      <c r="D27" s="24"/>
      <c r="E27" s="30" t="s">
        <v>21</v>
      </c>
      <c r="F27" s="30"/>
      <c r="G27" s="33"/>
      <c r="H27" s="37" t="s">
        <v>27</v>
      </c>
      <c r="I27" s="44" t="s">
        <v>139</v>
      </c>
      <c r="J27" s="41" t="s">
        <v>33</v>
      </c>
      <c r="K27" s="41" t="s">
        <v>68</v>
      </c>
      <c r="L27" s="45" t="s">
        <v>140</v>
      </c>
      <c r="M27" s="33">
        <v>31803</v>
      </c>
      <c r="N27" s="40" t="s">
        <v>141</v>
      </c>
      <c r="O27" s="30" t="s">
        <v>47</v>
      </c>
      <c r="P27" s="30" t="s">
        <v>37</v>
      </c>
      <c r="Q27" s="35" t="s">
        <v>142</v>
      </c>
      <c r="R27" s="30"/>
      <c r="S27" s="35" t="s">
        <v>143</v>
      </c>
      <c r="T27" s="53" t="s">
        <v>144</v>
      </c>
    </row>
    <row r="28" spans="1:1023" ht="30" customHeight="1" x14ac:dyDescent="0.25">
      <c r="A28" s="24">
        <f t="shared" si="0"/>
        <v>24</v>
      </c>
      <c r="B28" s="23"/>
      <c r="C28" s="24"/>
      <c r="D28" s="23"/>
      <c r="E28" s="30" t="s">
        <v>21</v>
      </c>
      <c r="F28" s="30"/>
      <c r="G28" s="33"/>
      <c r="H28" s="37" t="s">
        <v>27</v>
      </c>
      <c r="I28" s="44" t="s">
        <v>145</v>
      </c>
      <c r="J28" s="30" t="s">
        <v>68</v>
      </c>
      <c r="K28" s="41" t="s">
        <v>44</v>
      </c>
      <c r="L28" s="56" t="s">
        <v>146</v>
      </c>
      <c r="M28" s="33">
        <v>34814</v>
      </c>
      <c r="N28" s="40" t="s">
        <v>147</v>
      </c>
      <c r="O28" s="30" t="s">
        <v>47</v>
      </c>
      <c r="P28" s="30" t="s">
        <v>48</v>
      </c>
      <c r="Q28" s="35" t="s">
        <v>148</v>
      </c>
      <c r="R28" s="30">
        <v>1</v>
      </c>
      <c r="S28" s="35" t="s">
        <v>149</v>
      </c>
      <c r="T28" s="24" t="s">
        <v>150</v>
      </c>
    </row>
    <row r="29" spans="1:1023" s="2" customFormat="1" ht="30" customHeight="1" x14ac:dyDescent="0.25">
      <c r="A29" s="24">
        <f t="shared" si="0"/>
        <v>25</v>
      </c>
      <c r="B29" s="23"/>
      <c r="C29" s="24"/>
      <c r="D29" s="59"/>
      <c r="E29" s="30" t="s">
        <v>21</v>
      </c>
      <c r="F29" s="30"/>
      <c r="G29" s="33"/>
      <c r="H29" s="37" t="s">
        <v>27</v>
      </c>
      <c r="I29" s="44" t="s">
        <v>151</v>
      </c>
      <c r="J29" s="30" t="s">
        <v>43</v>
      </c>
      <c r="K29" s="41" t="s">
        <v>44</v>
      </c>
      <c r="L29" s="45" t="s">
        <v>152</v>
      </c>
      <c r="M29" s="33">
        <v>32105</v>
      </c>
      <c r="N29" s="40" t="s">
        <v>153</v>
      </c>
      <c r="O29" s="30" t="s">
        <v>47</v>
      </c>
      <c r="P29" s="30" t="s">
        <v>48</v>
      </c>
      <c r="Q29" s="35" t="s">
        <v>154</v>
      </c>
      <c r="R29" s="30">
        <v>1</v>
      </c>
      <c r="S29" s="35" t="s">
        <v>155</v>
      </c>
      <c r="T29" s="53" t="s">
        <v>156</v>
      </c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</row>
    <row r="30" spans="1:1023" ht="30" customHeight="1" x14ac:dyDescent="0.25">
      <c r="A30" s="24">
        <f t="shared" si="0"/>
        <v>26</v>
      </c>
      <c r="B30" s="23"/>
      <c r="C30" s="24"/>
      <c r="D30" s="24"/>
      <c r="E30" s="30" t="s">
        <v>21</v>
      </c>
      <c r="F30" s="30"/>
      <c r="G30" s="33"/>
      <c r="H30" s="43" t="s">
        <v>41</v>
      </c>
      <c r="I30" s="44" t="s">
        <v>157</v>
      </c>
      <c r="J30" s="41" t="s">
        <v>33</v>
      </c>
      <c r="K30" s="41" t="s">
        <v>43</v>
      </c>
      <c r="L30" s="60" t="s">
        <v>158</v>
      </c>
      <c r="M30" s="33">
        <v>30519</v>
      </c>
      <c r="N30" s="40" t="s">
        <v>159</v>
      </c>
      <c r="O30" s="30" t="s">
        <v>47</v>
      </c>
      <c r="P30" s="30" t="s">
        <v>48</v>
      </c>
      <c r="Q30" s="35" t="s">
        <v>160</v>
      </c>
      <c r="R30" s="30"/>
      <c r="S30" s="35" t="s">
        <v>84</v>
      </c>
      <c r="T30" s="53" t="s">
        <v>161</v>
      </c>
    </row>
    <row r="31" spans="1:1023" ht="30" customHeight="1" x14ac:dyDescent="0.25">
      <c r="A31" s="24">
        <f t="shared" si="0"/>
        <v>27</v>
      </c>
      <c r="B31" s="51"/>
      <c r="C31" s="46"/>
      <c r="D31" s="46"/>
      <c r="E31" s="30" t="s">
        <v>21</v>
      </c>
      <c r="F31" s="46"/>
      <c r="G31" s="46"/>
      <c r="H31" s="46"/>
      <c r="I31" s="44" t="s">
        <v>162</v>
      </c>
      <c r="J31" s="41" t="s">
        <v>68</v>
      </c>
      <c r="K31" s="41" t="s">
        <v>44</v>
      </c>
      <c r="L31" s="45" t="s">
        <v>163</v>
      </c>
      <c r="M31" s="33">
        <v>33184</v>
      </c>
      <c r="N31" s="40" t="s">
        <v>164</v>
      </c>
      <c r="O31" s="30" t="s">
        <v>47</v>
      </c>
      <c r="P31" s="30" t="s">
        <v>37</v>
      </c>
      <c r="Q31" s="35" t="s">
        <v>165</v>
      </c>
      <c r="R31" s="30">
        <v>1</v>
      </c>
      <c r="S31" s="35" t="s">
        <v>166</v>
      </c>
      <c r="T31" s="53" t="s">
        <v>167</v>
      </c>
    </row>
    <row r="32" spans="1:1023" ht="30" customHeight="1" x14ac:dyDescent="0.25">
      <c r="A32" s="24">
        <f t="shared" si="0"/>
        <v>28</v>
      </c>
      <c r="B32" s="23"/>
      <c r="C32" s="24"/>
      <c r="D32" s="24"/>
      <c r="E32" s="30" t="s">
        <v>21</v>
      </c>
      <c r="F32" s="30"/>
      <c r="G32" s="24"/>
      <c r="H32" s="37" t="s">
        <v>27</v>
      </c>
      <c r="I32" s="61" t="s">
        <v>168</v>
      </c>
      <c r="J32" s="41" t="s">
        <v>33</v>
      </c>
      <c r="K32" s="41" t="s">
        <v>68</v>
      </c>
      <c r="L32" s="52" t="s">
        <v>169</v>
      </c>
      <c r="M32" s="55">
        <v>29637</v>
      </c>
      <c r="N32" s="40" t="s">
        <v>170</v>
      </c>
      <c r="O32" s="30" t="s">
        <v>47</v>
      </c>
      <c r="P32" s="30" t="s">
        <v>48</v>
      </c>
      <c r="Q32" s="35" t="s">
        <v>171</v>
      </c>
      <c r="R32" s="30"/>
      <c r="S32" s="35" t="s">
        <v>172</v>
      </c>
      <c r="T32" s="62" t="s">
        <v>173</v>
      </c>
    </row>
    <row r="33" spans="1:20" ht="30" customHeight="1" x14ac:dyDescent="0.25">
      <c r="A33" s="24">
        <f t="shared" si="0"/>
        <v>29</v>
      </c>
      <c r="B33" s="23"/>
      <c r="C33" s="24"/>
      <c r="D33" s="24"/>
      <c r="E33" s="30" t="s">
        <v>21</v>
      </c>
      <c r="F33" s="30"/>
      <c r="G33" s="33"/>
      <c r="H33" s="43" t="s">
        <v>41</v>
      </c>
      <c r="I33" s="44" t="s">
        <v>174</v>
      </c>
      <c r="J33" s="41" t="s">
        <v>43</v>
      </c>
      <c r="K33" s="41" t="s">
        <v>68</v>
      </c>
      <c r="L33" s="52" t="s">
        <v>175</v>
      </c>
      <c r="M33" s="33">
        <v>30186</v>
      </c>
      <c r="N33" s="40" t="s">
        <v>176</v>
      </c>
      <c r="O33" s="30" t="s">
        <v>47</v>
      </c>
      <c r="P33" s="30" t="s">
        <v>48</v>
      </c>
      <c r="Q33" s="35" t="s">
        <v>177</v>
      </c>
      <c r="R33" s="30">
        <v>1</v>
      </c>
      <c r="S33" s="35" t="s">
        <v>178</v>
      </c>
      <c r="T33" s="24" t="s">
        <v>179</v>
      </c>
    </row>
    <row r="34" spans="1:20" ht="30" customHeight="1" x14ac:dyDescent="0.25">
      <c r="A34" s="24">
        <f t="shared" si="0"/>
        <v>30</v>
      </c>
      <c r="B34" s="23"/>
      <c r="C34" s="24"/>
      <c r="D34" s="24"/>
      <c r="E34" s="30" t="s">
        <v>21</v>
      </c>
      <c r="F34" s="30"/>
      <c r="G34" s="33"/>
      <c r="H34" s="28" t="s">
        <v>22</v>
      </c>
      <c r="I34" s="44" t="s">
        <v>180</v>
      </c>
      <c r="J34" s="41" t="s">
        <v>33</v>
      </c>
      <c r="K34" s="41" t="s">
        <v>43</v>
      </c>
      <c r="L34" s="45" t="s">
        <v>181</v>
      </c>
      <c r="M34" s="33">
        <v>29570</v>
      </c>
      <c r="N34" s="40" t="s">
        <v>182</v>
      </c>
      <c r="O34" s="30" t="s">
        <v>47</v>
      </c>
      <c r="P34" s="30" t="s">
        <v>48</v>
      </c>
      <c r="Q34" s="35" t="s">
        <v>183</v>
      </c>
      <c r="R34" s="30">
        <v>2</v>
      </c>
      <c r="S34" s="35" t="s">
        <v>59</v>
      </c>
      <c r="T34" s="24" t="s">
        <v>184</v>
      </c>
    </row>
    <row r="35" spans="1:20" ht="30" customHeight="1" x14ac:dyDescent="0.25">
      <c r="A35" s="24">
        <f t="shared" si="0"/>
        <v>31</v>
      </c>
      <c r="B35" s="23"/>
      <c r="C35" s="24"/>
      <c r="D35" s="24" t="s">
        <v>185</v>
      </c>
      <c r="E35" s="30" t="s">
        <v>21</v>
      </c>
      <c r="F35" s="30"/>
      <c r="G35" s="33"/>
      <c r="H35" s="28" t="s">
        <v>22</v>
      </c>
      <c r="I35" s="44" t="s">
        <v>186</v>
      </c>
      <c r="J35" s="41" t="s">
        <v>44</v>
      </c>
      <c r="K35" s="41" t="s">
        <v>68</v>
      </c>
      <c r="L35" s="45" t="s">
        <v>187</v>
      </c>
      <c r="M35" s="33">
        <v>29688</v>
      </c>
      <c r="N35" s="40" t="s">
        <v>188</v>
      </c>
      <c r="O35" s="30" t="s">
        <v>47</v>
      </c>
      <c r="P35" s="30" t="s">
        <v>48</v>
      </c>
      <c r="Q35" s="35" t="s">
        <v>189</v>
      </c>
      <c r="R35" s="30">
        <v>3</v>
      </c>
      <c r="S35" s="35" t="s">
        <v>190</v>
      </c>
      <c r="T35" s="24" t="s">
        <v>191</v>
      </c>
    </row>
    <row r="36" spans="1:20" ht="30" customHeight="1" x14ac:dyDescent="0.25">
      <c r="A36" s="24">
        <f t="shared" si="0"/>
        <v>32</v>
      </c>
      <c r="B36" s="23"/>
      <c r="C36" s="24"/>
      <c r="D36" s="24" t="s">
        <v>185</v>
      </c>
      <c r="E36" s="30" t="s">
        <v>21</v>
      </c>
      <c r="F36" s="30"/>
      <c r="G36" s="33"/>
      <c r="H36" s="28" t="s">
        <v>22</v>
      </c>
      <c r="I36" s="44" t="s">
        <v>186</v>
      </c>
      <c r="J36" s="41" t="s">
        <v>44</v>
      </c>
      <c r="K36" s="41" t="s">
        <v>44</v>
      </c>
      <c r="L36" s="32" t="s">
        <v>192</v>
      </c>
      <c r="M36" s="46"/>
      <c r="N36" s="48"/>
      <c r="O36" s="49"/>
      <c r="P36" s="46"/>
      <c r="Q36" s="50"/>
      <c r="R36" s="46"/>
      <c r="S36" s="50"/>
      <c r="T36" s="51"/>
    </row>
    <row r="37" spans="1:20" ht="30" customHeight="1" x14ac:dyDescent="0.25">
      <c r="A37" s="24">
        <f t="shared" si="0"/>
        <v>33</v>
      </c>
      <c r="B37" s="23"/>
      <c r="C37" s="24"/>
      <c r="D37" s="24"/>
      <c r="E37" s="30" t="s">
        <v>21</v>
      </c>
      <c r="F37" s="30"/>
      <c r="G37" s="33"/>
      <c r="H37" s="37" t="s">
        <v>27</v>
      </c>
      <c r="I37" s="44" t="s">
        <v>193</v>
      </c>
      <c r="J37" s="41" t="s">
        <v>43</v>
      </c>
      <c r="K37" s="41" t="s">
        <v>68</v>
      </c>
      <c r="L37" s="32" t="s">
        <v>194</v>
      </c>
      <c r="M37" s="33"/>
      <c r="N37" s="40"/>
      <c r="O37" s="30"/>
      <c r="P37" s="30"/>
      <c r="Q37" s="35"/>
      <c r="R37" s="30"/>
      <c r="S37" s="35"/>
      <c r="T37" s="23"/>
    </row>
    <row r="38" spans="1:20" ht="30" customHeight="1" x14ac:dyDescent="0.25">
      <c r="A38" s="24">
        <f t="shared" ref="A38:A63" si="1">A37+1</f>
        <v>34</v>
      </c>
      <c r="B38" s="23"/>
      <c r="C38" s="24"/>
      <c r="D38" s="23" t="s">
        <v>185</v>
      </c>
      <c r="E38" s="30" t="s">
        <v>21</v>
      </c>
      <c r="F38" s="30"/>
      <c r="G38" s="33"/>
      <c r="H38" s="43" t="s">
        <v>41</v>
      </c>
      <c r="I38" s="44" t="s">
        <v>195</v>
      </c>
      <c r="J38" s="41" t="s">
        <v>44</v>
      </c>
      <c r="K38" s="41" t="s">
        <v>44</v>
      </c>
      <c r="L38" s="56" t="s">
        <v>196</v>
      </c>
      <c r="M38" s="33">
        <v>35462</v>
      </c>
      <c r="N38" s="40" t="s">
        <v>197</v>
      </c>
      <c r="O38" s="30" t="s">
        <v>47</v>
      </c>
      <c r="P38" s="30" t="s">
        <v>48</v>
      </c>
      <c r="Q38" s="35" t="s">
        <v>198</v>
      </c>
      <c r="R38" s="30"/>
      <c r="S38" s="35" t="s">
        <v>84</v>
      </c>
      <c r="T38" s="62" t="s">
        <v>199</v>
      </c>
    </row>
    <row r="39" spans="1:20" ht="30" customHeight="1" x14ac:dyDescent="0.25">
      <c r="A39" s="24">
        <f t="shared" si="1"/>
        <v>35</v>
      </c>
      <c r="B39" s="23" t="s">
        <v>200</v>
      </c>
      <c r="C39" s="24"/>
      <c r="D39" s="24"/>
      <c r="E39" s="30" t="s">
        <v>21</v>
      </c>
      <c r="F39" s="30"/>
      <c r="G39" s="33"/>
      <c r="H39" s="37" t="s">
        <v>27</v>
      </c>
      <c r="I39" s="44" t="s">
        <v>201</v>
      </c>
      <c r="J39" s="41" t="s">
        <v>25</v>
      </c>
      <c r="K39" s="41" t="s">
        <v>33</v>
      </c>
      <c r="L39" s="32" t="s">
        <v>202</v>
      </c>
      <c r="M39" s="46"/>
      <c r="N39" s="48"/>
      <c r="O39" s="49"/>
      <c r="P39" s="46"/>
      <c r="Q39" s="50"/>
      <c r="R39" s="46"/>
      <c r="S39" s="50"/>
      <c r="T39" s="46"/>
    </row>
    <row r="40" spans="1:20" ht="30" customHeight="1" x14ac:dyDescent="0.25">
      <c r="A40" s="24">
        <f t="shared" si="1"/>
        <v>36</v>
      </c>
      <c r="B40" s="23" t="s">
        <v>200</v>
      </c>
      <c r="C40" s="24"/>
      <c r="D40" s="24"/>
      <c r="E40" s="30" t="s">
        <v>21</v>
      </c>
      <c r="F40" s="30"/>
      <c r="G40" s="33"/>
      <c r="H40" s="37" t="s">
        <v>27</v>
      </c>
      <c r="I40" s="44" t="s">
        <v>203</v>
      </c>
      <c r="J40" s="41" t="s">
        <v>33</v>
      </c>
      <c r="K40" s="38">
        <v>4</v>
      </c>
      <c r="L40" s="63" t="s">
        <v>204</v>
      </c>
      <c r="M40" s="46"/>
      <c r="N40" s="48"/>
      <c r="O40" s="49"/>
      <c r="P40" s="46"/>
      <c r="Q40" s="50"/>
      <c r="R40" s="46"/>
      <c r="S40" s="50"/>
      <c r="T40" s="46"/>
    </row>
    <row r="41" spans="1:20" ht="30" customHeight="1" x14ac:dyDescent="0.25">
      <c r="A41" s="24">
        <f t="shared" si="1"/>
        <v>37</v>
      </c>
      <c r="B41" s="64" t="s">
        <v>200</v>
      </c>
      <c r="C41" s="24"/>
      <c r="D41" s="23"/>
      <c r="E41" s="30" t="s">
        <v>21</v>
      </c>
      <c r="F41" s="30"/>
      <c r="G41" s="33"/>
      <c r="H41" s="37" t="s">
        <v>27</v>
      </c>
      <c r="I41" s="44" t="s">
        <v>205</v>
      </c>
      <c r="J41" s="41" t="s">
        <v>43</v>
      </c>
      <c r="K41" s="41" t="s">
        <v>43</v>
      </c>
      <c r="L41" s="52" t="s">
        <v>206</v>
      </c>
      <c r="M41" s="33">
        <v>29965</v>
      </c>
      <c r="N41" s="40" t="s">
        <v>207</v>
      </c>
      <c r="O41" s="30" t="s">
        <v>208</v>
      </c>
      <c r="P41" s="30" t="s">
        <v>48</v>
      </c>
      <c r="Q41" s="35" t="s">
        <v>209</v>
      </c>
      <c r="R41" s="30">
        <v>2</v>
      </c>
      <c r="S41" s="35" t="s">
        <v>210</v>
      </c>
      <c r="T41" s="24" t="s">
        <v>211</v>
      </c>
    </row>
    <row r="42" spans="1:20" ht="30" customHeight="1" x14ac:dyDescent="0.25">
      <c r="A42" s="24">
        <f t="shared" si="1"/>
        <v>38</v>
      </c>
      <c r="B42" s="23" t="s">
        <v>200</v>
      </c>
      <c r="C42" s="24"/>
      <c r="D42" s="23" t="s">
        <v>185</v>
      </c>
      <c r="E42" s="30" t="s">
        <v>21</v>
      </c>
      <c r="F42" s="30"/>
      <c r="G42" s="33"/>
      <c r="H42" s="37" t="s">
        <v>27</v>
      </c>
      <c r="I42" s="44" t="s">
        <v>212</v>
      </c>
      <c r="J42" s="41" t="s">
        <v>68</v>
      </c>
      <c r="K42" s="38">
        <v>5</v>
      </c>
      <c r="L42" s="39" t="s">
        <v>29</v>
      </c>
      <c r="M42" s="33"/>
      <c r="N42" s="40"/>
      <c r="O42" s="30"/>
      <c r="P42" s="30"/>
      <c r="Q42" s="35"/>
      <c r="R42" s="30"/>
      <c r="S42" s="35"/>
      <c r="T42" s="24"/>
    </row>
    <row r="43" spans="1:20" ht="30" customHeight="1" x14ac:dyDescent="0.25">
      <c r="A43" s="24">
        <f t="shared" si="1"/>
        <v>39</v>
      </c>
      <c r="B43" s="23" t="s">
        <v>213</v>
      </c>
      <c r="C43" s="24"/>
      <c r="D43" s="24"/>
      <c r="E43" s="30" t="s">
        <v>21</v>
      </c>
      <c r="F43" s="30"/>
      <c r="G43" s="33"/>
      <c r="H43" s="37" t="s">
        <v>27</v>
      </c>
      <c r="I43" s="44" t="s">
        <v>214</v>
      </c>
      <c r="J43" s="41" t="s">
        <v>25</v>
      </c>
      <c r="K43" s="41" t="s">
        <v>33</v>
      </c>
      <c r="L43" s="45" t="s">
        <v>215</v>
      </c>
      <c r="M43" s="33">
        <v>29102</v>
      </c>
      <c r="N43" s="40" t="s">
        <v>216</v>
      </c>
      <c r="O43" s="30" t="s">
        <v>47</v>
      </c>
      <c r="P43" s="30" t="s">
        <v>48</v>
      </c>
      <c r="Q43" s="35" t="s">
        <v>217</v>
      </c>
      <c r="R43" s="30"/>
      <c r="S43" s="35" t="s">
        <v>218</v>
      </c>
      <c r="T43" s="53" t="s">
        <v>219</v>
      </c>
    </row>
    <row r="44" spans="1:20" ht="30" customHeight="1" x14ac:dyDescent="0.25">
      <c r="A44" s="24">
        <f t="shared" si="1"/>
        <v>40</v>
      </c>
      <c r="B44" s="23" t="s">
        <v>213</v>
      </c>
      <c r="C44" s="24"/>
      <c r="D44" s="46"/>
      <c r="E44" s="30" t="s">
        <v>21</v>
      </c>
      <c r="F44" s="30"/>
      <c r="G44" s="33"/>
      <c r="H44" s="37" t="s">
        <v>27</v>
      </c>
      <c r="I44" s="44" t="s">
        <v>220</v>
      </c>
      <c r="J44" s="41" t="s">
        <v>68</v>
      </c>
      <c r="K44" s="41" t="s">
        <v>43</v>
      </c>
      <c r="L44" s="45" t="s">
        <v>221</v>
      </c>
      <c r="M44" s="33">
        <v>30046</v>
      </c>
      <c r="N44" s="40" t="s">
        <v>222</v>
      </c>
      <c r="O44" s="30" t="s">
        <v>47</v>
      </c>
      <c r="P44" s="30" t="s">
        <v>48</v>
      </c>
      <c r="Q44" s="35" t="s">
        <v>223</v>
      </c>
      <c r="R44" s="30">
        <v>2</v>
      </c>
      <c r="S44" s="35" t="s">
        <v>218</v>
      </c>
      <c r="T44" s="53" t="s">
        <v>224</v>
      </c>
    </row>
    <row r="45" spans="1:20" ht="30" customHeight="1" x14ac:dyDescent="0.25">
      <c r="A45" s="24">
        <f t="shared" si="1"/>
        <v>41</v>
      </c>
      <c r="B45" s="23" t="s">
        <v>225</v>
      </c>
      <c r="C45" s="24"/>
      <c r="D45" s="24"/>
      <c r="E45" s="30" t="s">
        <v>21</v>
      </c>
      <c r="F45" s="30"/>
      <c r="G45" s="33"/>
      <c r="H45" s="37" t="s">
        <v>27</v>
      </c>
      <c r="I45" s="44" t="s">
        <v>226</v>
      </c>
      <c r="J45" s="41" t="s">
        <v>33</v>
      </c>
      <c r="K45" s="41" t="s">
        <v>33</v>
      </c>
      <c r="L45" s="65" t="s">
        <v>227</v>
      </c>
      <c r="M45" s="33"/>
      <c r="N45" s="40"/>
      <c r="O45" s="30"/>
      <c r="P45" s="30"/>
      <c r="Q45" s="35"/>
      <c r="R45" s="30"/>
      <c r="S45" s="35"/>
      <c r="T45" s="36"/>
    </row>
    <row r="46" spans="1:20" ht="30" customHeight="1" x14ac:dyDescent="0.25">
      <c r="A46" s="24">
        <f t="shared" si="1"/>
        <v>42</v>
      </c>
      <c r="B46" s="23" t="s">
        <v>228</v>
      </c>
      <c r="C46" s="24"/>
      <c r="D46" s="24"/>
      <c r="E46" s="30" t="s">
        <v>21</v>
      </c>
      <c r="F46" s="30"/>
      <c r="G46" s="33"/>
      <c r="H46" s="37" t="s">
        <v>27</v>
      </c>
      <c r="I46" s="44" t="s">
        <v>229</v>
      </c>
      <c r="J46" s="41" t="s">
        <v>33</v>
      </c>
      <c r="K46" s="41" t="s">
        <v>43</v>
      </c>
      <c r="L46" s="45" t="s">
        <v>230</v>
      </c>
      <c r="M46" s="33">
        <v>30524</v>
      </c>
      <c r="N46" s="40" t="s">
        <v>231</v>
      </c>
      <c r="O46" s="30" t="s">
        <v>47</v>
      </c>
      <c r="P46" s="30" t="s">
        <v>48</v>
      </c>
      <c r="Q46" s="35" t="s">
        <v>232</v>
      </c>
      <c r="R46" s="30">
        <v>1</v>
      </c>
      <c r="S46" s="35" t="s">
        <v>84</v>
      </c>
      <c r="T46" s="53" t="s">
        <v>233</v>
      </c>
    </row>
    <row r="47" spans="1:20" ht="30" customHeight="1" x14ac:dyDescent="0.25">
      <c r="A47" s="24">
        <f t="shared" si="1"/>
        <v>43</v>
      </c>
      <c r="B47" s="23" t="s">
        <v>234</v>
      </c>
      <c r="C47" s="24"/>
      <c r="D47" s="24"/>
      <c r="E47" s="30" t="s">
        <v>21</v>
      </c>
      <c r="F47" s="30"/>
      <c r="G47" s="33"/>
      <c r="H47" s="37" t="s">
        <v>27</v>
      </c>
      <c r="I47" s="44" t="s">
        <v>235</v>
      </c>
      <c r="J47" s="41" t="s">
        <v>236</v>
      </c>
      <c r="K47" s="41" t="s">
        <v>237</v>
      </c>
      <c r="L47" s="32" t="s">
        <v>238</v>
      </c>
      <c r="M47" s="33"/>
      <c r="N47" s="40"/>
      <c r="O47" s="30"/>
      <c r="P47" s="30"/>
      <c r="Q47" s="35"/>
      <c r="R47" s="30"/>
      <c r="S47" s="35"/>
      <c r="T47" s="36"/>
    </row>
    <row r="48" spans="1:20" ht="30" customHeight="1" x14ac:dyDescent="0.25">
      <c r="A48" s="24">
        <f t="shared" si="1"/>
        <v>44</v>
      </c>
      <c r="B48" s="23"/>
      <c r="C48" s="24"/>
      <c r="D48" s="24"/>
      <c r="E48" s="30" t="s">
        <v>21</v>
      </c>
      <c r="F48" s="30"/>
      <c r="G48" s="33"/>
      <c r="H48" s="37" t="s">
        <v>27</v>
      </c>
      <c r="I48" s="44" t="s">
        <v>239</v>
      </c>
      <c r="J48" s="41" t="s">
        <v>43</v>
      </c>
      <c r="K48" s="41" t="s">
        <v>43</v>
      </c>
      <c r="L48" s="45" t="s">
        <v>240</v>
      </c>
      <c r="M48" s="33">
        <v>32746</v>
      </c>
      <c r="N48" s="40" t="s">
        <v>241</v>
      </c>
      <c r="O48" s="30" t="s">
        <v>47</v>
      </c>
      <c r="P48" s="30" t="s">
        <v>48</v>
      </c>
      <c r="Q48" s="35" t="s">
        <v>242</v>
      </c>
      <c r="R48" s="30">
        <v>1</v>
      </c>
      <c r="S48" s="35" t="s">
        <v>243</v>
      </c>
      <c r="T48" s="53" t="s">
        <v>244</v>
      </c>
    </row>
    <row r="49" spans="1:1023" ht="30" customHeight="1" x14ac:dyDescent="0.25">
      <c r="A49" s="24">
        <f t="shared" si="1"/>
        <v>45</v>
      </c>
      <c r="B49" s="23"/>
      <c r="C49" s="24"/>
      <c r="D49" s="24"/>
      <c r="E49" s="30" t="s">
        <v>21</v>
      </c>
      <c r="F49" s="30"/>
      <c r="G49" s="33"/>
      <c r="H49" s="37" t="s">
        <v>27</v>
      </c>
      <c r="I49" s="44" t="s">
        <v>245</v>
      </c>
      <c r="J49" s="41" t="s">
        <v>68</v>
      </c>
      <c r="K49" s="41" t="s">
        <v>44</v>
      </c>
      <c r="L49" s="45" t="s">
        <v>246</v>
      </c>
      <c r="M49" s="33">
        <v>33522</v>
      </c>
      <c r="N49" s="40"/>
      <c r="O49" s="30" t="s">
        <v>47</v>
      </c>
      <c r="P49" s="30"/>
      <c r="Q49" s="35"/>
      <c r="R49" s="30"/>
      <c r="S49" s="35" t="e">
        <f>#N/A</f>
        <v>#N/A</v>
      </c>
      <c r="T49" s="36"/>
    </row>
    <row r="50" spans="1:1023" ht="30" customHeight="1" x14ac:dyDescent="0.25">
      <c r="A50" s="24">
        <f t="shared" si="1"/>
        <v>46</v>
      </c>
      <c r="B50" s="23"/>
      <c r="C50" s="24"/>
      <c r="D50" s="24"/>
      <c r="E50" s="30" t="s">
        <v>21</v>
      </c>
      <c r="F50" s="30"/>
      <c r="G50" s="33"/>
      <c r="H50" s="37" t="s">
        <v>27</v>
      </c>
      <c r="I50" s="29" t="s">
        <v>247</v>
      </c>
      <c r="J50" s="41" t="s">
        <v>25</v>
      </c>
      <c r="K50" s="41" t="s">
        <v>33</v>
      </c>
      <c r="L50" s="65" t="s">
        <v>248</v>
      </c>
      <c r="M50" s="33"/>
      <c r="N50" s="40"/>
      <c r="O50" s="30"/>
      <c r="P50" s="30"/>
      <c r="Q50" s="35"/>
      <c r="R50" s="30"/>
      <c r="S50" s="35"/>
      <c r="T50" s="36"/>
    </row>
    <row r="51" spans="1:1023" ht="30" customHeight="1" x14ac:dyDescent="0.25">
      <c r="A51" s="24">
        <f t="shared" si="1"/>
        <v>47</v>
      </c>
      <c r="B51" s="23"/>
      <c r="C51" s="24"/>
      <c r="D51" s="24"/>
      <c r="E51" s="30" t="s">
        <v>21</v>
      </c>
      <c r="F51" s="30"/>
      <c r="G51" s="33"/>
      <c r="H51" s="37" t="s">
        <v>27</v>
      </c>
      <c r="I51" s="44" t="s">
        <v>249</v>
      </c>
      <c r="J51" s="41" t="s">
        <v>33</v>
      </c>
      <c r="K51" s="41" t="s">
        <v>43</v>
      </c>
      <c r="L51" s="45" t="s">
        <v>250</v>
      </c>
      <c r="M51" s="33">
        <v>29417</v>
      </c>
      <c r="N51" s="40" t="s">
        <v>251</v>
      </c>
      <c r="O51" s="30" t="s">
        <v>47</v>
      </c>
      <c r="P51" s="30" t="s">
        <v>48</v>
      </c>
      <c r="Q51" s="35" t="s">
        <v>252</v>
      </c>
      <c r="R51" s="30">
        <v>1</v>
      </c>
      <c r="S51" s="35" t="s">
        <v>253</v>
      </c>
      <c r="T51" s="53" t="s">
        <v>254</v>
      </c>
    </row>
    <row r="52" spans="1:1023" ht="30" customHeight="1" x14ac:dyDescent="0.25">
      <c r="A52" s="24">
        <f t="shared" si="1"/>
        <v>48</v>
      </c>
      <c r="B52" s="23"/>
      <c r="C52" s="24"/>
      <c r="D52" s="24"/>
      <c r="E52" s="30" t="s">
        <v>21</v>
      </c>
      <c r="F52" s="30"/>
      <c r="G52" s="33"/>
      <c r="H52" s="37" t="s">
        <v>27</v>
      </c>
      <c r="I52" s="44" t="s">
        <v>255</v>
      </c>
      <c r="J52" s="41" t="s">
        <v>68</v>
      </c>
      <c r="K52" s="41" t="s">
        <v>100</v>
      </c>
      <c r="L52" s="66" t="s">
        <v>256</v>
      </c>
      <c r="M52" s="33">
        <v>35665</v>
      </c>
      <c r="N52" s="40" t="s">
        <v>257</v>
      </c>
      <c r="O52" s="30" t="s">
        <v>47</v>
      </c>
      <c r="P52" s="30" t="s">
        <v>48</v>
      </c>
      <c r="Q52" s="35" t="s">
        <v>258</v>
      </c>
      <c r="R52" s="30"/>
      <c r="S52" s="35" t="s">
        <v>259</v>
      </c>
      <c r="T52" s="47" t="s">
        <v>260</v>
      </c>
    </row>
    <row r="53" spans="1:1023" ht="30" customHeight="1" x14ac:dyDescent="0.25">
      <c r="A53" s="24">
        <f t="shared" si="1"/>
        <v>49</v>
      </c>
      <c r="B53" s="23"/>
      <c r="C53" s="24"/>
      <c r="D53" s="24"/>
      <c r="E53" s="30" t="s">
        <v>21</v>
      </c>
      <c r="F53" s="30"/>
      <c r="G53" s="33"/>
      <c r="H53" s="37"/>
      <c r="I53" s="44" t="s">
        <v>261</v>
      </c>
      <c r="J53" s="41" t="s">
        <v>44</v>
      </c>
      <c r="K53" s="38">
        <v>6</v>
      </c>
      <c r="L53" s="39" t="s">
        <v>29</v>
      </c>
      <c r="M53" s="33"/>
      <c r="N53" s="40"/>
      <c r="O53" s="30"/>
      <c r="P53" s="30"/>
      <c r="Q53" s="35"/>
      <c r="R53" s="30"/>
      <c r="S53" s="35"/>
      <c r="T53" s="36"/>
    </row>
    <row r="54" spans="1:1023" ht="30" customHeight="1" x14ac:dyDescent="0.25">
      <c r="A54" s="24">
        <f t="shared" si="1"/>
        <v>50</v>
      </c>
      <c r="B54" s="23"/>
      <c r="C54" s="24"/>
      <c r="D54" s="24"/>
      <c r="E54" s="30" t="s">
        <v>21</v>
      </c>
      <c r="F54" s="30"/>
      <c r="G54" s="33"/>
      <c r="H54" s="37" t="s">
        <v>27</v>
      </c>
      <c r="I54" s="44" t="s">
        <v>262</v>
      </c>
      <c r="J54" s="41" t="s">
        <v>33</v>
      </c>
      <c r="K54" s="38">
        <v>7</v>
      </c>
      <c r="L54" s="39" t="s">
        <v>29</v>
      </c>
      <c r="M54" s="33"/>
      <c r="N54" s="40"/>
      <c r="O54" s="30"/>
      <c r="P54" s="30"/>
      <c r="Q54" s="35"/>
      <c r="R54" s="30"/>
      <c r="S54" s="35"/>
      <c r="T54" s="36"/>
    </row>
    <row r="55" spans="1:1023" ht="30" customHeight="1" x14ac:dyDescent="0.25">
      <c r="A55" s="24">
        <f t="shared" si="1"/>
        <v>51</v>
      </c>
      <c r="B55" s="23"/>
      <c r="C55" s="24"/>
      <c r="D55" s="24"/>
      <c r="E55" s="30" t="s">
        <v>21</v>
      </c>
      <c r="F55" s="30"/>
      <c r="G55" s="33"/>
      <c r="H55" s="37"/>
      <c r="I55" s="44" t="s">
        <v>263</v>
      </c>
      <c r="J55" s="41" t="s">
        <v>68</v>
      </c>
      <c r="K55" s="30" t="s">
        <v>68</v>
      </c>
      <c r="L55" s="45" t="s">
        <v>264</v>
      </c>
      <c r="M55" s="33">
        <v>33299</v>
      </c>
      <c r="N55" s="40" t="s">
        <v>265</v>
      </c>
      <c r="O55" s="30" t="s">
        <v>47</v>
      </c>
      <c r="P55" s="30" t="s">
        <v>48</v>
      </c>
      <c r="Q55" s="35" t="s">
        <v>266</v>
      </c>
      <c r="R55" s="30">
        <v>1</v>
      </c>
      <c r="S55" s="35" t="s">
        <v>267</v>
      </c>
      <c r="T55" s="47" t="s">
        <v>268</v>
      </c>
    </row>
    <row r="56" spans="1:1023" ht="30" customHeight="1" x14ac:dyDescent="0.25">
      <c r="A56" s="24">
        <f t="shared" si="1"/>
        <v>52</v>
      </c>
      <c r="B56" s="23"/>
      <c r="C56" s="24"/>
      <c r="D56" s="24"/>
      <c r="E56" s="30" t="s">
        <v>21</v>
      </c>
      <c r="F56" s="30"/>
      <c r="G56" s="33"/>
      <c r="H56" s="37" t="s">
        <v>27</v>
      </c>
      <c r="I56" s="44" t="s">
        <v>269</v>
      </c>
      <c r="J56" s="41" t="s">
        <v>33</v>
      </c>
      <c r="K56" s="41" t="s">
        <v>43</v>
      </c>
      <c r="L56" s="45" t="s">
        <v>270</v>
      </c>
      <c r="M56" s="33">
        <v>30679</v>
      </c>
      <c r="N56" s="40" t="s">
        <v>271</v>
      </c>
      <c r="O56" s="30" t="s">
        <v>47</v>
      </c>
      <c r="P56" s="30" t="s">
        <v>48</v>
      </c>
      <c r="Q56" s="35" t="s">
        <v>272</v>
      </c>
      <c r="R56" s="30">
        <v>2</v>
      </c>
      <c r="S56" s="35" t="s">
        <v>273</v>
      </c>
      <c r="T56" s="53" t="s">
        <v>274</v>
      </c>
    </row>
    <row r="57" spans="1:1023" ht="30" customHeight="1" x14ac:dyDescent="0.25">
      <c r="A57" s="24">
        <f t="shared" si="1"/>
        <v>53</v>
      </c>
      <c r="B57" s="23"/>
      <c r="C57" s="24"/>
      <c r="D57" s="24"/>
      <c r="E57" s="30" t="s">
        <v>21</v>
      </c>
      <c r="F57" s="30"/>
      <c r="G57" s="33"/>
      <c r="H57" s="37"/>
      <c r="I57" s="44" t="s">
        <v>275</v>
      </c>
      <c r="J57" s="41" t="s">
        <v>68</v>
      </c>
      <c r="K57" s="38">
        <v>8</v>
      </c>
      <c r="L57" s="39" t="s">
        <v>29</v>
      </c>
      <c r="M57" s="33"/>
      <c r="N57" s="40"/>
      <c r="O57" s="30"/>
      <c r="P57" s="30"/>
      <c r="Q57" s="35"/>
      <c r="R57" s="30"/>
      <c r="S57" s="35"/>
      <c r="T57" s="36"/>
    </row>
    <row r="58" spans="1:1023" ht="30" customHeight="1" x14ac:dyDescent="0.25">
      <c r="A58" s="24">
        <f t="shared" si="1"/>
        <v>54</v>
      </c>
      <c r="B58" s="23"/>
      <c r="C58" s="24"/>
      <c r="D58" s="24"/>
      <c r="E58" s="30" t="s">
        <v>21</v>
      </c>
      <c r="F58" s="30"/>
      <c r="G58" s="33"/>
      <c r="H58" s="37" t="s">
        <v>27</v>
      </c>
      <c r="I58" s="44" t="s">
        <v>276</v>
      </c>
      <c r="J58" s="41" t="s">
        <v>43</v>
      </c>
      <c r="K58" s="41" t="s">
        <v>68</v>
      </c>
      <c r="L58" s="45" t="s">
        <v>277</v>
      </c>
      <c r="M58" s="33">
        <v>33296</v>
      </c>
      <c r="N58" s="40" t="s">
        <v>278</v>
      </c>
      <c r="O58" s="30" t="s">
        <v>47</v>
      </c>
      <c r="P58" s="30" t="s">
        <v>279</v>
      </c>
      <c r="Q58" s="35" t="s">
        <v>280</v>
      </c>
      <c r="R58" s="30"/>
      <c r="S58" s="35" t="s">
        <v>281</v>
      </c>
      <c r="T58" s="53" t="s">
        <v>282</v>
      </c>
    </row>
    <row r="59" spans="1:1023" ht="30" customHeight="1" x14ac:dyDescent="0.25">
      <c r="A59" s="24">
        <f t="shared" si="1"/>
        <v>55</v>
      </c>
      <c r="B59" s="23" t="s">
        <v>283</v>
      </c>
      <c r="C59" s="24"/>
      <c r="D59" s="24"/>
      <c r="E59" s="30" t="s">
        <v>21</v>
      </c>
      <c r="F59" s="30"/>
      <c r="G59" s="33"/>
      <c r="H59" s="37" t="s">
        <v>27</v>
      </c>
      <c r="I59" s="29" t="s">
        <v>284</v>
      </c>
      <c r="J59" s="41" t="s">
        <v>25</v>
      </c>
      <c r="K59" s="38">
        <v>9</v>
      </c>
      <c r="L59" s="39" t="s">
        <v>29</v>
      </c>
      <c r="M59" s="33"/>
      <c r="N59" s="40"/>
      <c r="O59" s="30"/>
      <c r="P59" s="30"/>
      <c r="Q59" s="35"/>
      <c r="R59" s="30"/>
      <c r="S59" s="35"/>
      <c r="T59" s="36"/>
    </row>
    <row r="60" spans="1:1023" ht="30" customHeight="1" x14ac:dyDescent="0.25">
      <c r="A60" s="24">
        <f t="shared" si="1"/>
        <v>56</v>
      </c>
      <c r="B60" s="23" t="s">
        <v>283</v>
      </c>
      <c r="C60" s="24"/>
      <c r="D60" s="24"/>
      <c r="E60" s="30" t="s">
        <v>21</v>
      </c>
      <c r="F60" s="30"/>
      <c r="G60" s="33"/>
      <c r="H60" s="37"/>
      <c r="I60" s="44" t="s">
        <v>285</v>
      </c>
      <c r="J60" s="41" t="s">
        <v>33</v>
      </c>
      <c r="K60" s="38">
        <v>10</v>
      </c>
      <c r="L60" s="39" t="s">
        <v>29</v>
      </c>
      <c r="M60" s="33"/>
      <c r="N60" s="40"/>
      <c r="O60" s="30"/>
      <c r="P60" s="30"/>
      <c r="Q60" s="35"/>
      <c r="R60" s="30"/>
      <c r="S60" s="35"/>
      <c r="T60" s="36"/>
    </row>
    <row r="61" spans="1:1023" ht="30" customHeight="1" x14ac:dyDescent="0.25">
      <c r="A61" s="24">
        <f t="shared" si="1"/>
        <v>57</v>
      </c>
      <c r="B61" s="23" t="s">
        <v>283</v>
      </c>
      <c r="C61" s="24"/>
      <c r="D61" s="24"/>
      <c r="E61" s="30" t="s">
        <v>21</v>
      </c>
      <c r="F61" s="30"/>
      <c r="G61" s="33"/>
      <c r="H61" s="43" t="s">
        <v>41</v>
      </c>
      <c r="I61" s="44" t="s">
        <v>286</v>
      </c>
      <c r="J61" s="41" t="s">
        <v>33</v>
      </c>
      <c r="K61" s="41" t="s">
        <v>43</v>
      </c>
      <c r="L61" s="45" t="s">
        <v>287</v>
      </c>
      <c r="M61" s="33">
        <v>32604</v>
      </c>
      <c r="N61" s="40" t="s">
        <v>288</v>
      </c>
      <c r="O61" s="30" t="s">
        <v>47</v>
      </c>
      <c r="P61" s="30" t="s">
        <v>48</v>
      </c>
      <c r="Q61" s="35" t="s">
        <v>289</v>
      </c>
      <c r="R61" s="30">
        <v>1</v>
      </c>
      <c r="S61" s="35" t="s">
        <v>290</v>
      </c>
      <c r="T61" s="53" t="s">
        <v>291</v>
      </c>
    </row>
    <row r="62" spans="1:1023" ht="30" customHeight="1" x14ac:dyDescent="0.25">
      <c r="A62" s="24">
        <f t="shared" si="1"/>
        <v>58</v>
      </c>
      <c r="B62" s="23" t="s">
        <v>283</v>
      </c>
      <c r="C62" s="24"/>
      <c r="D62" s="24"/>
      <c r="E62" s="30" t="s">
        <v>21</v>
      </c>
      <c r="F62" s="30"/>
      <c r="G62" s="33"/>
      <c r="H62" s="43" t="s">
        <v>41</v>
      </c>
      <c r="I62" s="44" t="s">
        <v>292</v>
      </c>
      <c r="J62" s="41" t="s">
        <v>33</v>
      </c>
      <c r="K62" s="41" t="s">
        <v>43</v>
      </c>
      <c r="L62" s="32" t="s">
        <v>293</v>
      </c>
      <c r="M62" s="33">
        <v>32375</v>
      </c>
      <c r="N62" s="40"/>
      <c r="O62" s="30"/>
      <c r="P62" s="30"/>
      <c r="Q62" s="35"/>
      <c r="R62" s="30"/>
      <c r="S62" s="35"/>
      <c r="T62" s="36"/>
    </row>
    <row r="63" spans="1:1023" ht="30" customHeight="1" x14ac:dyDescent="0.25">
      <c r="A63" s="24">
        <f t="shared" si="1"/>
        <v>59</v>
      </c>
      <c r="B63" s="23" t="s">
        <v>283</v>
      </c>
      <c r="C63" s="24"/>
      <c r="D63" s="67"/>
      <c r="E63" s="68" t="s">
        <v>21</v>
      </c>
      <c r="F63" s="68"/>
      <c r="G63" s="69"/>
      <c r="H63" s="43" t="s">
        <v>41</v>
      </c>
      <c r="I63" s="44" t="s">
        <v>294</v>
      </c>
      <c r="J63" s="41" t="s">
        <v>33</v>
      </c>
      <c r="K63" s="31" t="s">
        <v>68</v>
      </c>
      <c r="L63" s="32" t="s">
        <v>295</v>
      </c>
      <c r="M63" s="33">
        <v>33079</v>
      </c>
      <c r="N63" s="40"/>
      <c r="O63" s="30"/>
      <c r="P63" s="30"/>
      <c r="Q63" s="35"/>
      <c r="R63" s="30"/>
      <c r="S63" s="35"/>
      <c r="T63" s="36"/>
    </row>
    <row r="64" spans="1:1023" s="86" customFormat="1" ht="30" customHeight="1" x14ac:dyDescent="0.25">
      <c r="A64" s="70" t="e">
        <f>REPT(#REF!,#REF!)</f>
        <v>#REF!</v>
      </c>
      <c r="B64" s="71"/>
      <c r="C64" s="72"/>
      <c r="D64" s="72"/>
      <c r="E64" s="73" t="s">
        <v>21</v>
      </c>
      <c r="F64" s="74" t="e">
        <f>REPT(#REF!,#REF!)</f>
        <v>#REF!</v>
      </c>
      <c r="G64" s="75"/>
      <c r="H64" s="75"/>
      <c r="I64" s="76"/>
      <c r="J64" s="77"/>
      <c r="K64" s="78"/>
      <c r="L64" s="79"/>
      <c r="M64" s="80"/>
      <c r="N64" s="81"/>
      <c r="O64" s="82"/>
      <c r="P64" s="83"/>
      <c r="Q64" s="83"/>
      <c r="R64" s="83"/>
      <c r="S64" s="84"/>
      <c r="T64" s="85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</row>
    <row r="65" spans="1:20" ht="30" customHeight="1" x14ac:dyDescent="0.25">
      <c r="A65" s="24">
        <f>A63+1</f>
        <v>60</v>
      </c>
      <c r="B65" s="23"/>
      <c r="C65" s="24"/>
      <c r="D65" s="25"/>
      <c r="E65" s="26" t="s">
        <v>21</v>
      </c>
      <c r="F65" s="26" t="s">
        <v>296</v>
      </c>
      <c r="G65" s="87"/>
      <c r="H65" s="37" t="s">
        <v>27</v>
      </c>
      <c r="I65" s="88" t="s">
        <v>297</v>
      </c>
      <c r="J65" s="41" t="s">
        <v>33</v>
      </c>
      <c r="K65" s="41" t="s">
        <v>33</v>
      </c>
      <c r="L65" s="89" t="s">
        <v>298</v>
      </c>
      <c r="M65" s="33">
        <v>28795</v>
      </c>
      <c r="N65" s="40" t="s">
        <v>299</v>
      </c>
      <c r="O65" s="30" t="s">
        <v>47</v>
      </c>
      <c r="P65" s="30" t="s">
        <v>48</v>
      </c>
      <c r="Q65" s="35" t="s">
        <v>300</v>
      </c>
      <c r="R65" s="30">
        <v>1</v>
      </c>
      <c r="S65" s="35" t="s">
        <v>72</v>
      </c>
      <c r="T65" s="53" t="s">
        <v>301</v>
      </c>
    </row>
    <row r="66" spans="1:20" ht="30" customHeight="1" x14ac:dyDescent="0.25">
      <c r="A66" s="24">
        <f t="shared" ref="A66:A75" si="2">A65+1</f>
        <v>61</v>
      </c>
      <c r="B66" s="23"/>
      <c r="C66" s="24" t="s">
        <v>31</v>
      </c>
      <c r="D66" s="24"/>
      <c r="E66" s="30" t="s">
        <v>21</v>
      </c>
      <c r="F66" s="30" t="s">
        <v>296</v>
      </c>
      <c r="G66" s="33"/>
      <c r="H66" s="43" t="s">
        <v>41</v>
      </c>
      <c r="I66" s="90" t="s">
        <v>302</v>
      </c>
      <c r="J66" s="41" t="s">
        <v>43</v>
      </c>
      <c r="K66" s="41" t="s">
        <v>68</v>
      </c>
      <c r="L66" s="89" t="s">
        <v>303</v>
      </c>
      <c r="M66" s="33">
        <v>31770</v>
      </c>
      <c r="N66" s="40" t="s">
        <v>304</v>
      </c>
      <c r="O66" s="30" t="s">
        <v>47</v>
      </c>
      <c r="P66" s="30" t="s">
        <v>48</v>
      </c>
      <c r="Q66" s="35" t="s">
        <v>305</v>
      </c>
      <c r="R66" s="30">
        <v>3</v>
      </c>
      <c r="S66" s="35" t="s">
        <v>306</v>
      </c>
      <c r="T66" s="53" t="s">
        <v>307</v>
      </c>
    </row>
    <row r="67" spans="1:20" ht="30" customHeight="1" x14ac:dyDescent="0.25">
      <c r="A67" s="24">
        <f t="shared" si="2"/>
        <v>62</v>
      </c>
      <c r="B67" s="23"/>
      <c r="C67" s="24"/>
      <c r="D67" s="24"/>
      <c r="E67" s="30" t="s">
        <v>21</v>
      </c>
      <c r="F67" s="30" t="s">
        <v>296</v>
      </c>
      <c r="G67" s="33"/>
      <c r="H67" s="37" t="s">
        <v>27</v>
      </c>
      <c r="I67" s="90" t="s">
        <v>308</v>
      </c>
      <c r="J67" s="41" t="s">
        <v>43</v>
      </c>
      <c r="K67" s="41" t="s">
        <v>43</v>
      </c>
      <c r="L67" s="89" t="s">
        <v>309</v>
      </c>
      <c r="M67" s="33">
        <v>31242</v>
      </c>
      <c r="N67" s="40" t="s">
        <v>310</v>
      </c>
      <c r="O67" s="30" t="s">
        <v>47</v>
      </c>
      <c r="P67" s="30" t="s">
        <v>48</v>
      </c>
      <c r="Q67" s="35" t="s">
        <v>311</v>
      </c>
      <c r="R67" s="30">
        <v>1</v>
      </c>
      <c r="S67" s="35" t="s">
        <v>84</v>
      </c>
      <c r="T67" s="53" t="s">
        <v>312</v>
      </c>
    </row>
    <row r="68" spans="1:20" ht="30" customHeight="1" x14ac:dyDescent="0.25">
      <c r="A68" s="24">
        <f t="shared" si="2"/>
        <v>63</v>
      </c>
      <c r="B68" s="23"/>
      <c r="C68" s="24" t="s">
        <v>313</v>
      </c>
      <c r="D68" s="24"/>
      <c r="E68" s="30" t="s">
        <v>21</v>
      </c>
      <c r="F68" s="30" t="s">
        <v>296</v>
      </c>
      <c r="G68" s="33"/>
      <c r="H68" s="37" t="s">
        <v>27</v>
      </c>
      <c r="I68" s="90" t="s">
        <v>314</v>
      </c>
      <c r="J68" s="41" t="s">
        <v>43</v>
      </c>
      <c r="K68" s="41" t="s">
        <v>43</v>
      </c>
      <c r="L68" s="89" t="s">
        <v>315</v>
      </c>
      <c r="M68" s="33">
        <v>31283</v>
      </c>
      <c r="N68" s="40" t="s">
        <v>316</v>
      </c>
      <c r="O68" s="30" t="s">
        <v>47</v>
      </c>
      <c r="P68" s="30" t="s">
        <v>317</v>
      </c>
      <c r="Q68" s="35" t="s">
        <v>318</v>
      </c>
      <c r="R68" s="30">
        <v>1</v>
      </c>
      <c r="S68" s="35" t="s">
        <v>84</v>
      </c>
      <c r="T68" s="47" t="s">
        <v>319</v>
      </c>
    </row>
    <row r="69" spans="1:20" ht="30" customHeight="1" x14ac:dyDescent="0.25">
      <c r="A69" s="24">
        <f t="shared" si="2"/>
        <v>64</v>
      </c>
      <c r="B69" s="23"/>
      <c r="C69" s="24"/>
      <c r="D69" s="24"/>
      <c r="E69" s="30" t="s">
        <v>21</v>
      </c>
      <c r="F69" s="30" t="s">
        <v>296</v>
      </c>
      <c r="G69" s="33"/>
      <c r="H69" s="43" t="s">
        <v>41</v>
      </c>
      <c r="I69" s="91" t="s">
        <v>320</v>
      </c>
      <c r="J69" s="41" t="s">
        <v>68</v>
      </c>
      <c r="K69" s="41" t="s">
        <v>68</v>
      </c>
      <c r="L69" s="89" t="s">
        <v>321</v>
      </c>
      <c r="M69" s="33">
        <v>32666</v>
      </c>
      <c r="N69" s="40" t="s">
        <v>322</v>
      </c>
      <c r="O69" s="30" t="s">
        <v>47</v>
      </c>
      <c r="P69" s="30" t="s">
        <v>48</v>
      </c>
      <c r="Q69" s="35" t="s">
        <v>323</v>
      </c>
      <c r="R69" s="30">
        <v>1</v>
      </c>
      <c r="S69" s="35" t="s">
        <v>84</v>
      </c>
      <c r="T69" s="53" t="s">
        <v>324</v>
      </c>
    </row>
    <row r="70" spans="1:20" ht="30" customHeight="1" x14ac:dyDescent="0.25">
      <c r="A70" s="24">
        <f t="shared" si="2"/>
        <v>65</v>
      </c>
      <c r="B70" s="23"/>
      <c r="C70" s="24"/>
      <c r="D70" s="24" t="s">
        <v>185</v>
      </c>
      <c r="E70" s="30" t="s">
        <v>21</v>
      </c>
      <c r="F70" s="30" t="s">
        <v>296</v>
      </c>
      <c r="G70" s="33"/>
      <c r="H70" s="43" t="s">
        <v>41</v>
      </c>
      <c r="I70" s="92" t="s">
        <v>325</v>
      </c>
      <c r="J70" s="41" t="s">
        <v>44</v>
      </c>
      <c r="K70" s="41" t="s">
        <v>44</v>
      </c>
      <c r="L70" s="93" t="s">
        <v>326</v>
      </c>
      <c r="M70" s="33">
        <v>34776</v>
      </c>
      <c r="N70" s="40" t="s">
        <v>327</v>
      </c>
      <c r="O70" s="30" t="s">
        <v>47</v>
      </c>
      <c r="P70" s="30" t="s">
        <v>48</v>
      </c>
      <c r="Q70" s="35" t="s">
        <v>328</v>
      </c>
      <c r="R70" s="30">
        <v>1</v>
      </c>
      <c r="S70" s="35" t="s">
        <v>329</v>
      </c>
      <c r="T70" s="53" t="s">
        <v>330</v>
      </c>
    </row>
    <row r="71" spans="1:20" ht="30" customHeight="1" x14ac:dyDescent="0.25">
      <c r="A71" s="24">
        <f t="shared" si="2"/>
        <v>66</v>
      </c>
      <c r="B71" s="23"/>
      <c r="C71" s="24"/>
      <c r="D71" s="24" t="s">
        <v>185</v>
      </c>
      <c r="E71" s="30" t="s">
        <v>21</v>
      </c>
      <c r="F71" s="30" t="s">
        <v>296</v>
      </c>
      <c r="G71" s="33"/>
      <c r="H71" s="43" t="s">
        <v>41</v>
      </c>
      <c r="I71" s="92" t="s">
        <v>331</v>
      </c>
      <c r="J71" s="41" t="s">
        <v>44</v>
      </c>
      <c r="K71" s="41" t="s">
        <v>100</v>
      </c>
      <c r="L71" s="94" t="s">
        <v>332</v>
      </c>
      <c r="M71" s="33">
        <v>36207</v>
      </c>
      <c r="N71" s="40" t="s">
        <v>333</v>
      </c>
      <c r="O71" s="30" t="s">
        <v>47</v>
      </c>
      <c r="P71" s="30" t="s">
        <v>48</v>
      </c>
      <c r="Q71" s="35" t="s">
        <v>334</v>
      </c>
      <c r="R71" s="30"/>
      <c r="S71" s="35" t="s">
        <v>335</v>
      </c>
      <c r="T71" s="47" t="s">
        <v>336</v>
      </c>
    </row>
    <row r="72" spans="1:20" ht="30" customHeight="1" x14ac:dyDescent="0.25">
      <c r="A72" s="24">
        <f t="shared" si="2"/>
        <v>67</v>
      </c>
      <c r="B72" s="23"/>
      <c r="C72" s="24"/>
      <c r="D72" s="24"/>
      <c r="E72" s="30" t="s">
        <v>21</v>
      </c>
      <c r="F72" s="30" t="s">
        <v>296</v>
      </c>
      <c r="G72" s="33"/>
      <c r="H72" s="43" t="s">
        <v>41</v>
      </c>
      <c r="I72" s="91" t="s">
        <v>337</v>
      </c>
      <c r="J72" s="41" t="s">
        <v>68</v>
      </c>
      <c r="K72" s="41" t="s">
        <v>68</v>
      </c>
      <c r="L72" s="95" t="s">
        <v>338</v>
      </c>
      <c r="M72" s="33">
        <v>33210</v>
      </c>
      <c r="N72" s="40" t="s">
        <v>339</v>
      </c>
      <c r="O72" s="30" t="s">
        <v>47</v>
      </c>
      <c r="P72" s="30" t="s">
        <v>48</v>
      </c>
      <c r="Q72" s="35" t="s">
        <v>340</v>
      </c>
      <c r="R72" s="30">
        <v>1</v>
      </c>
      <c r="S72" s="35" t="s">
        <v>341</v>
      </c>
      <c r="T72" s="47" t="s">
        <v>342</v>
      </c>
    </row>
    <row r="73" spans="1:20" ht="30" customHeight="1" x14ac:dyDescent="0.25">
      <c r="A73" s="24">
        <f t="shared" si="2"/>
        <v>68</v>
      </c>
      <c r="B73" s="23"/>
      <c r="C73" s="24"/>
      <c r="D73" s="24" t="s">
        <v>185</v>
      </c>
      <c r="E73" s="30" t="s">
        <v>21</v>
      </c>
      <c r="F73" s="30" t="s">
        <v>296</v>
      </c>
      <c r="G73" s="33"/>
      <c r="H73" s="43" t="s">
        <v>41</v>
      </c>
      <c r="I73" s="96" t="s">
        <v>343</v>
      </c>
      <c r="J73" s="41" t="s">
        <v>44</v>
      </c>
      <c r="K73" s="41" t="s">
        <v>44</v>
      </c>
      <c r="L73" s="89" t="s">
        <v>344</v>
      </c>
      <c r="M73" s="33">
        <v>33408</v>
      </c>
      <c r="N73" s="40" t="s">
        <v>345</v>
      </c>
      <c r="O73" s="30" t="s">
        <v>47</v>
      </c>
      <c r="P73" s="30" t="s">
        <v>48</v>
      </c>
      <c r="Q73" s="35" t="s">
        <v>346</v>
      </c>
      <c r="R73" s="30">
        <v>1</v>
      </c>
      <c r="S73" s="35" t="s">
        <v>347</v>
      </c>
      <c r="T73" s="53" t="s">
        <v>348</v>
      </c>
    </row>
    <row r="74" spans="1:20" ht="30" customHeight="1" x14ac:dyDescent="0.25">
      <c r="A74" s="24">
        <f t="shared" si="2"/>
        <v>69</v>
      </c>
      <c r="B74" s="23"/>
      <c r="C74" s="24" t="s">
        <v>31</v>
      </c>
      <c r="D74" s="24" t="s">
        <v>185</v>
      </c>
      <c r="E74" s="30" t="s">
        <v>21</v>
      </c>
      <c r="F74" s="30" t="s">
        <v>296</v>
      </c>
      <c r="G74" s="33"/>
      <c r="H74" s="43" t="s">
        <v>41</v>
      </c>
      <c r="I74" s="96" t="s">
        <v>349</v>
      </c>
      <c r="J74" s="41" t="s">
        <v>44</v>
      </c>
      <c r="K74" s="41" t="s">
        <v>44</v>
      </c>
      <c r="L74" s="93" t="s">
        <v>350</v>
      </c>
      <c r="M74" s="33">
        <v>34273</v>
      </c>
      <c r="N74" s="40" t="s">
        <v>351</v>
      </c>
      <c r="O74" s="30" t="s">
        <v>47</v>
      </c>
      <c r="P74" s="30" t="s">
        <v>37</v>
      </c>
      <c r="Q74" s="35" t="s">
        <v>352</v>
      </c>
      <c r="R74" s="30"/>
      <c r="S74" s="35" t="s">
        <v>353</v>
      </c>
      <c r="T74" s="53" t="s">
        <v>354</v>
      </c>
    </row>
    <row r="75" spans="1:20" ht="30" customHeight="1" x14ac:dyDescent="0.25">
      <c r="A75" s="24">
        <f t="shared" si="2"/>
        <v>70</v>
      </c>
      <c r="B75" s="23"/>
      <c r="C75" s="24"/>
      <c r="D75" s="24" t="s">
        <v>185</v>
      </c>
      <c r="E75" s="30" t="s">
        <v>21</v>
      </c>
      <c r="F75" s="30" t="s">
        <v>296</v>
      </c>
      <c r="G75" s="33"/>
      <c r="H75" s="43" t="s">
        <v>41</v>
      </c>
      <c r="I75" s="92" t="s">
        <v>355</v>
      </c>
      <c r="J75" s="41" t="s">
        <v>44</v>
      </c>
      <c r="K75" s="41" t="s">
        <v>100</v>
      </c>
      <c r="L75" s="97" t="s">
        <v>356</v>
      </c>
      <c r="M75" s="33">
        <v>35750</v>
      </c>
      <c r="N75" s="40" t="s">
        <v>357</v>
      </c>
      <c r="O75" s="30" t="s">
        <v>47</v>
      </c>
      <c r="P75" s="30" t="s">
        <v>37</v>
      </c>
      <c r="Q75" s="35" t="s">
        <v>358</v>
      </c>
      <c r="R75" s="30"/>
      <c r="S75" s="35" t="s">
        <v>359</v>
      </c>
      <c r="T75" s="53" t="s">
        <v>360</v>
      </c>
    </row>
    <row r="76" spans="1:20" ht="30" customHeight="1" x14ac:dyDescent="0.25">
      <c r="A76" s="24"/>
      <c r="B76" s="23"/>
      <c r="C76" s="24"/>
      <c r="D76" s="24"/>
      <c r="E76" s="30" t="s">
        <v>21</v>
      </c>
      <c r="F76" s="30" t="s">
        <v>296</v>
      </c>
      <c r="G76" s="33"/>
      <c r="H76" s="43"/>
      <c r="I76" s="92" t="s">
        <v>355</v>
      </c>
      <c r="J76" s="41"/>
      <c r="K76" s="98"/>
      <c r="L76" s="63" t="s">
        <v>361</v>
      </c>
      <c r="M76" s="33"/>
      <c r="N76" s="40"/>
      <c r="O76" s="30"/>
      <c r="P76" s="30"/>
      <c r="Q76" s="35"/>
      <c r="R76" s="30"/>
      <c r="S76" s="35"/>
      <c r="T76" s="53"/>
    </row>
    <row r="77" spans="1:20" ht="30" customHeight="1" x14ac:dyDescent="0.25">
      <c r="A77" s="24">
        <f>A75+1</f>
        <v>71</v>
      </c>
      <c r="B77" s="23"/>
      <c r="C77" s="24"/>
      <c r="D77" s="24" t="s">
        <v>185</v>
      </c>
      <c r="E77" s="30" t="s">
        <v>21</v>
      </c>
      <c r="F77" s="30" t="s">
        <v>296</v>
      </c>
      <c r="G77" s="33"/>
      <c r="H77" s="43" t="s">
        <v>41</v>
      </c>
      <c r="I77" s="92" t="s">
        <v>362</v>
      </c>
      <c r="J77" s="41" t="s">
        <v>44</v>
      </c>
      <c r="K77" s="41" t="s">
        <v>44</v>
      </c>
      <c r="L77" s="93" t="s">
        <v>363</v>
      </c>
      <c r="M77" s="33">
        <v>35249</v>
      </c>
      <c r="N77" s="40" t="s">
        <v>364</v>
      </c>
      <c r="O77" s="30" t="s">
        <v>47</v>
      </c>
      <c r="P77" s="30" t="s">
        <v>37</v>
      </c>
      <c r="Q77" s="35" t="s">
        <v>365</v>
      </c>
      <c r="R77" s="30"/>
      <c r="S77" s="35" t="s">
        <v>366</v>
      </c>
      <c r="T77" s="53" t="s">
        <v>367</v>
      </c>
    </row>
    <row r="78" spans="1:20" ht="30" customHeight="1" x14ac:dyDescent="0.25">
      <c r="A78" s="24">
        <f>A77+1</f>
        <v>72</v>
      </c>
      <c r="B78" s="23"/>
      <c r="C78" s="24"/>
      <c r="D78" s="24" t="s">
        <v>185</v>
      </c>
      <c r="E78" s="30" t="s">
        <v>21</v>
      </c>
      <c r="F78" s="30" t="s">
        <v>296</v>
      </c>
      <c r="G78" s="33"/>
      <c r="H78" s="43" t="s">
        <v>41</v>
      </c>
      <c r="I78" s="92" t="s">
        <v>368</v>
      </c>
      <c r="J78" s="41" t="s">
        <v>44</v>
      </c>
      <c r="K78" s="41" t="s">
        <v>100</v>
      </c>
      <c r="L78" s="97" t="s">
        <v>369</v>
      </c>
      <c r="M78" s="33">
        <v>35298</v>
      </c>
      <c r="N78" s="40" t="s">
        <v>364</v>
      </c>
      <c r="O78" s="30" t="s">
        <v>370</v>
      </c>
      <c r="P78" s="30" t="s">
        <v>37</v>
      </c>
      <c r="Q78" s="35" t="s">
        <v>371</v>
      </c>
      <c r="R78" s="30"/>
      <c r="S78" s="35" t="s">
        <v>372</v>
      </c>
      <c r="T78" s="53" t="s">
        <v>373</v>
      </c>
    </row>
    <row r="79" spans="1:20" ht="30" customHeight="1" x14ac:dyDescent="0.25">
      <c r="A79" s="24">
        <f>A78+1</f>
        <v>73</v>
      </c>
      <c r="B79" s="23"/>
      <c r="C79" s="24"/>
      <c r="D79" s="24" t="s">
        <v>185</v>
      </c>
      <c r="E79" s="30" t="s">
        <v>21</v>
      </c>
      <c r="F79" s="30" t="s">
        <v>296</v>
      </c>
      <c r="G79" s="33"/>
      <c r="H79" s="43" t="s">
        <v>41</v>
      </c>
      <c r="I79" s="92" t="s">
        <v>374</v>
      </c>
      <c r="J79" s="41" t="s">
        <v>44</v>
      </c>
      <c r="K79" s="38">
        <v>11</v>
      </c>
      <c r="L79" s="63" t="s">
        <v>375</v>
      </c>
      <c r="M79" s="46"/>
      <c r="N79" s="48"/>
      <c r="O79" s="49"/>
      <c r="P79" s="46"/>
      <c r="Q79" s="50"/>
      <c r="R79" s="46"/>
      <c r="S79" s="50"/>
      <c r="T79" s="51"/>
    </row>
    <row r="80" spans="1:20" ht="30" customHeight="1" x14ac:dyDescent="0.25">
      <c r="A80" s="24">
        <f>A79+1</f>
        <v>74</v>
      </c>
      <c r="B80" s="23"/>
      <c r="C80" s="24"/>
      <c r="D80" s="24"/>
      <c r="E80" s="30" t="s">
        <v>21</v>
      </c>
      <c r="F80" s="30" t="s">
        <v>296</v>
      </c>
      <c r="G80" s="33"/>
      <c r="H80" s="37" t="s">
        <v>27</v>
      </c>
      <c r="I80" s="91" t="s">
        <v>376</v>
      </c>
      <c r="J80" s="41" t="s">
        <v>68</v>
      </c>
      <c r="K80" s="41" t="s">
        <v>68</v>
      </c>
      <c r="L80" s="89" t="s">
        <v>377</v>
      </c>
      <c r="M80" s="33">
        <v>32967</v>
      </c>
      <c r="N80" s="40" t="s">
        <v>378</v>
      </c>
      <c r="O80" s="30" t="s">
        <v>47</v>
      </c>
      <c r="P80" s="30" t="s">
        <v>48</v>
      </c>
      <c r="Q80" s="35" t="s">
        <v>379</v>
      </c>
      <c r="R80" s="30"/>
      <c r="S80" s="35" t="s">
        <v>380</v>
      </c>
      <c r="T80" s="53" t="s">
        <v>381</v>
      </c>
    </row>
    <row r="81" spans="1:1023" ht="30" customHeight="1" x14ac:dyDescent="0.25">
      <c r="A81" s="24">
        <f>A80+1</f>
        <v>75</v>
      </c>
      <c r="B81" s="23"/>
      <c r="C81" s="24"/>
      <c r="D81" s="24" t="s">
        <v>185</v>
      </c>
      <c r="E81" s="30" t="s">
        <v>21</v>
      </c>
      <c r="F81" s="30" t="s">
        <v>296</v>
      </c>
      <c r="G81" s="33"/>
      <c r="H81" s="43" t="s">
        <v>41</v>
      </c>
      <c r="I81" s="52" t="s">
        <v>382</v>
      </c>
      <c r="J81" s="41" t="s">
        <v>44</v>
      </c>
      <c r="K81" s="38">
        <v>12</v>
      </c>
      <c r="L81" s="99" t="s">
        <v>29</v>
      </c>
      <c r="M81" s="33"/>
      <c r="N81" s="40"/>
      <c r="O81" s="30"/>
      <c r="P81" s="30"/>
      <c r="Q81" s="35"/>
      <c r="R81" s="30"/>
      <c r="S81" s="35"/>
      <c r="T81" s="36"/>
    </row>
    <row r="82" spans="1:1023" ht="30" customHeight="1" x14ac:dyDescent="0.25">
      <c r="A82" s="24">
        <f>A81+1</f>
        <v>76</v>
      </c>
      <c r="B82" s="23"/>
      <c r="C82" s="24"/>
      <c r="D82" s="24" t="s">
        <v>185</v>
      </c>
      <c r="E82" s="30" t="s">
        <v>21</v>
      </c>
      <c r="F82" s="30" t="s">
        <v>296</v>
      </c>
      <c r="G82" s="33"/>
      <c r="H82" s="43" t="s">
        <v>41</v>
      </c>
      <c r="I82" s="92" t="s">
        <v>383</v>
      </c>
      <c r="J82" s="41" t="s">
        <v>44</v>
      </c>
      <c r="K82" s="30" t="s">
        <v>44</v>
      </c>
      <c r="L82" s="93" t="s">
        <v>384</v>
      </c>
      <c r="M82" s="33">
        <v>34555</v>
      </c>
      <c r="N82" s="40" t="s">
        <v>385</v>
      </c>
      <c r="O82" s="30" t="s">
        <v>47</v>
      </c>
      <c r="P82" s="30" t="s">
        <v>48</v>
      </c>
      <c r="Q82" s="35" t="s">
        <v>386</v>
      </c>
      <c r="R82" s="30"/>
      <c r="S82" s="35" t="s">
        <v>387</v>
      </c>
      <c r="T82" s="53" t="s">
        <v>388</v>
      </c>
    </row>
    <row r="83" spans="1:1023" ht="30" customHeight="1" x14ac:dyDescent="0.25">
      <c r="A83" s="24"/>
      <c r="B83" s="23"/>
      <c r="C83" s="24"/>
      <c r="D83" s="24"/>
      <c r="E83" s="30" t="s">
        <v>21</v>
      </c>
      <c r="F83" s="30" t="s">
        <v>296</v>
      </c>
      <c r="G83" s="33"/>
      <c r="H83" s="43"/>
      <c r="I83" s="92" t="s">
        <v>383</v>
      </c>
      <c r="J83" s="41"/>
      <c r="K83" s="98"/>
      <c r="L83" s="63" t="s">
        <v>389</v>
      </c>
      <c r="M83" s="33"/>
      <c r="N83" s="40"/>
      <c r="O83" s="30"/>
      <c r="P83" s="30"/>
      <c r="Q83" s="35"/>
      <c r="R83" s="30"/>
      <c r="S83" s="35"/>
      <c r="T83" s="53"/>
    </row>
    <row r="84" spans="1:1023" ht="30" customHeight="1" x14ac:dyDescent="0.25">
      <c r="A84" s="24">
        <f>A82+1</f>
        <v>77</v>
      </c>
      <c r="B84" s="23"/>
      <c r="C84" s="24"/>
      <c r="D84" s="24" t="s">
        <v>185</v>
      </c>
      <c r="E84" s="30" t="s">
        <v>21</v>
      </c>
      <c r="F84" s="30" t="s">
        <v>296</v>
      </c>
      <c r="G84" s="33"/>
      <c r="H84" s="43" t="s">
        <v>41</v>
      </c>
      <c r="I84" s="92" t="s">
        <v>390</v>
      </c>
      <c r="J84" s="41" t="s">
        <v>44</v>
      </c>
      <c r="K84" s="41" t="s">
        <v>100</v>
      </c>
      <c r="L84" s="100" t="s">
        <v>391</v>
      </c>
      <c r="M84" s="33">
        <v>35670</v>
      </c>
      <c r="N84" s="40" t="s">
        <v>392</v>
      </c>
      <c r="O84" s="30" t="s">
        <v>47</v>
      </c>
      <c r="P84" s="30" t="s">
        <v>37</v>
      </c>
      <c r="Q84" s="35" t="s">
        <v>393</v>
      </c>
      <c r="R84" s="30"/>
      <c r="S84" s="35" t="s">
        <v>394</v>
      </c>
      <c r="T84" s="47" t="s">
        <v>395</v>
      </c>
    </row>
    <row r="85" spans="1:1023" ht="30" customHeight="1" x14ac:dyDescent="0.25">
      <c r="A85" s="24">
        <f>A84+1</f>
        <v>78</v>
      </c>
      <c r="B85" s="23"/>
      <c r="C85" s="24"/>
      <c r="D85" s="24" t="s">
        <v>185</v>
      </c>
      <c r="E85" s="30" t="s">
        <v>21</v>
      </c>
      <c r="F85" s="30" t="s">
        <v>296</v>
      </c>
      <c r="G85" s="33"/>
      <c r="H85" s="43" t="s">
        <v>41</v>
      </c>
      <c r="I85" s="52" t="s">
        <v>396</v>
      </c>
      <c r="J85" s="41" t="s">
        <v>44</v>
      </c>
      <c r="K85" s="30" t="s">
        <v>44</v>
      </c>
      <c r="L85" s="89" t="s">
        <v>397</v>
      </c>
      <c r="M85" s="33">
        <v>31031</v>
      </c>
      <c r="N85" s="40" t="s">
        <v>398</v>
      </c>
      <c r="O85" s="30" t="s">
        <v>47</v>
      </c>
      <c r="P85" s="30" t="s">
        <v>48</v>
      </c>
      <c r="Q85" s="35" t="s">
        <v>399</v>
      </c>
      <c r="R85" s="30">
        <v>2</v>
      </c>
      <c r="S85" s="35" t="s">
        <v>400</v>
      </c>
      <c r="T85" s="53" t="s">
        <v>401</v>
      </c>
    </row>
    <row r="86" spans="1:1023" ht="30" customHeight="1" x14ac:dyDescent="0.25">
      <c r="A86" s="24">
        <f>A85+1</f>
        <v>79</v>
      </c>
      <c r="B86" s="23" t="s">
        <v>93</v>
      </c>
      <c r="C86" s="24"/>
      <c r="D86" s="67" t="s">
        <v>185</v>
      </c>
      <c r="E86" s="68" t="s">
        <v>21</v>
      </c>
      <c r="F86" s="68" t="s">
        <v>296</v>
      </c>
      <c r="G86" s="69"/>
      <c r="H86" s="101" t="s">
        <v>27</v>
      </c>
      <c r="I86" s="102" t="s">
        <v>402</v>
      </c>
      <c r="J86" s="41" t="s">
        <v>44</v>
      </c>
      <c r="K86" s="30" t="s">
        <v>100</v>
      </c>
      <c r="L86" s="89" t="s">
        <v>403</v>
      </c>
      <c r="M86" s="33">
        <v>31865</v>
      </c>
      <c r="N86" s="40" t="s">
        <v>404</v>
      </c>
      <c r="O86" s="30" t="s">
        <v>47</v>
      </c>
      <c r="P86" s="30" t="s">
        <v>48</v>
      </c>
      <c r="Q86" s="35" t="s">
        <v>405</v>
      </c>
      <c r="R86" s="30">
        <v>2</v>
      </c>
      <c r="S86" s="35" t="s">
        <v>406</v>
      </c>
      <c r="T86" s="53" t="s">
        <v>407</v>
      </c>
    </row>
    <row r="87" spans="1:1023" s="2" customFormat="1" ht="30" customHeight="1" x14ac:dyDescent="0.25">
      <c r="A87" s="74" t="e">
        <f>REPT(#REF!,#REF!)</f>
        <v>#REF!</v>
      </c>
      <c r="B87" s="103"/>
      <c r="C87" s="103"/>
      <c r="D87" s="72"/>
      <c r="E87" s="73" t="s">
        <v>21</v>
      </c>
      <c r="F87" s="74" t="e">
        <f>REPT(#REF!,#REF!)</f>
        <v>#REF!</v>
      </c>
      <c r="G87" s="104"/>
      <c r="H87" s="104"/>
      <c r="I87" s="105"/>
      <c r="J87" s="106"/>
      <c r="K87" s="106"/>
      <c r="L87" s="107"/>
      <c r="M87" s="108"/>
      <c r="N87" s="74"/>
      <c r="O87" s="104"/>
      <c r="P87" s="108"/>
      <c r="Q87" s="108"/>
      <c r="R87" s="108"/>
      <c r="S87" s="109"/>
      <c r="T87" s="104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</row>
    <row r="88" spans="1:1023" ht="30" customHeight="1" x14ac:dyDescent="0.25">
      <c r="A88" s="24">
        <f>A86+1</f>
        <v>80</v>
      </c>
      <c r="B88" s="23"/>
      <c r="C88" s="24"/>
      <c r="D88" s="25"/>
      <c r="E88" s="26" t="s">
        <v>21</v>
      </c>
      <c r="F88" s="26" t="s">
        <v>408</v>
      </c>
      <c r="G88" s="25"/>
      <c r="H88" s="110" t="s">
        <v>41</v>
      </c>
      <c r="I88" s="111" t="s">
        <v>409</v>
      </c>
      <c r="J88" s="41" t="s">
        <v>68</v>
      </c>
      <c r="K88" s="41" t="s">
        <v>68</v>
      </c>
      <c r="L88" s="52" t="s">
        <v>410</v>
      </c>
      <c r="M88" s="55">
        <v>33023</v>
      </c>
      <c r="N88" s="40" t="s">
        <v>411</v>
      </c>
      <c r="O88" s="30" t="s">
        <v>47</v>
      </c>
      <c r="P88" s="30" t="s">
        <v>37</v>
      </c>
      <c r="Q88" s="35" t="s">
        <v>412</v>
      </c>
      <c r="R88" s="30"/>
      <c r="S88" s="35" t="s">
        <v>413</v>
      </c>
      <c r="T88" s="47" t="s">
        <v>414</v>
      </c>
    </row>
    <row r="89" spans="1:1023" ht="30" customHeight="1" x14ac:dyDescent="0.25">
      <c r="A89" s="24">
        <f>A88+1</f>
        <v>81</v>
      </c>
      <c r="B89" s="23"/>
      <c r="C89" s="24"/>
      <c r="D89" s="24" t="s">
        <v>185</v>
      </c>
      <c r="E89" s="30" t="s">
        <v>21</v>
      </c>
      <c r="F89" s="30" t="s">
        <v>408</v>
      </c>
      <c r="G89" s="24"/>
      <c r="H89" s="43" t="s">
        <v>41</v>
      </c>
      <c r="I89" s="92" t="s">
        <v>415</v>
      </c>
      <c r="J89" s="41" t="s">
        <v>44</v>
      </c>
      <c r="K89" s="41" t="s">
        <v>100</v>
      </c>
      <c r="L89" s="52" t="s">
        <v>416</v>
      </c>
      <c r="M89" s="33">
        <v>33463</v>
      </c>
      <c r="N89" s="40" t="s">
        <v>417</v>
      </c>
      <c r="O89" s="30" t="s">
        <v>47</v>
      </c>
      <c r="P89" s="30" t="s">
        <v>37</v>
      </c>
      <c r="Q89" s="35" t="s">
        <v>418</v>
      </c>
      <c r="R89" s="30"/>
      <c r="S89" s="35" t="s">
        <v>419</v>
      </c>
      <c r="T89" s="53" t="s">
        <v>420</v>
      </c>
    </row>
    <row r="90" spans="1:1023" ht="30" customHeight="1" x14ac:dyDescent="0.25">
      <c r="A90" s="24"/>
      <c r="B90" s="23"/>
      <c r="C90" s="24"/>
      <c r="D90" s="24"/>
      <c r="E90" s="30" t="s">
        <v>21</v>
      </c>
      <c r="F90" s="30" t="s">
        <v>408</v>
      </c>
      <c r="G90" s="24"/>
      <c r="H90" s="43"/>
      <c r="I90" s="92" t="s">
        <v>415</v>
      </c>
      <c r="J90" s="41"/>
      <c r="K90" s="98"/>
      <c r="L90" s="63" t="s">
        <v>421</v>
      </c>
      <c r="M90" s="33"/>
      <c r="N90" s="40"/>
      <c r="O90" s="30"/>
      <c r="P90" s="30"/>
      <c r="Q90" s="35"/>
      <c r="R90" s="30"/>
      <c r="S90" s="35"/>
      <c r="T90" s="112"/>
    </row>
    <row r="91" spans="1:1023" ht="30" customHeight="1" x14ac:dyDescent="0.25">
      <c r="A91" s="24">
        <f>A89+1</f>
        <v>82</v>
      </c>
      <c r="B91" s="23"/>
      <c r="C91" s="24"/>
      <c r="D91" s="24" t="s">
        <v>185</v>
      </c>
      <c r="E91" s="30" t="s">
        <v>21</v>
      </c>
      <c r="F91" s="30" t="s">
        <v>408</v>
      </c>
      <c r="G91" s="24"/>
      <c r="H91" s="43" t="s">
        <v>41</v>
      </c>
      <c r="I91" s="92" t="s">
        <v>422</v>
      </c>
      <c r="J91" s="41" t="s">
        <v>44</v>
      </c>
      <c r="K91" s="41" t="s">
        <v>100</v>
      </c>
      <c r="L91" s="42" t="s">
        <v>423</v>
      </c>
      <c r="M91" s="55">
        <v>35451</v>
      </c>
      <c r="N91" s="40" t="s">
        <v>424</v>
      </c>
      <c r="O91" s="30" t="s">
        <v>425</v>
      </c>
      <c r="P91" s="30" t="s">
        <v>48</v>
      </c>
      <c r="Q91" s="35" t="s">
        <v>426</v>
      </c>
      <c r="R91" s="30"/>
      <c r="S91" s="35" t="s">
        <v>427</v>
      </c>
      <c r="T91" s="113" t="s">
        <v>428</v>
      </c>
    </row>
    <row r="92" spans="1:1023" ht="30" customHeight="1" x14ac:dyDescent="0.25">
      <c r="A92" s="24">
        <f>A91+1</f>
        <v>83</v>
      </c>
      <c r="B92" s="23"/>
      <c r="C92" s="24"/>
      <c r="D92" s="24" t="s">
        <v>185</v>
      </c>
      <c r="E92" s="30" t="s">
        <v>21</v>
      </c>
      <c r="F92" s="30" t="s">
        <v>408</v>
      </c>
      <c r="G92" s="24"/>
      <c r="H92" s="43" t="s">
        <v>41</v>
      </c>
      <c r="I92" s="92" t="s">
        <v>429</v>
      </c>
      <c r="J92" s="41" t="s">
        <v>44</v>
      </c>
      <c r="K92" s="41" t="s">
        <v>100</v>
      </c>
      <c r="L92" s="42" t="s">
        <v>430</v>
      </c>
      <c r="M92" s="55">
        <v>35698</v>
      </c>
      <c r="N92" s="40" t="s">
        <v>431</v>
      </c>
      <c r="O92" s="30" t="s">
        <v>47</v>
      </c>
      <c r="P92" s="30" t="s">
        <v>37</v>
      </c>
      <c r="Q92" s="35" t="s">
        <v>432</v>
      </c>
      <c r="R92" s="30"/>
      <c r="S92" s="35" t="s">
        <v>427</v>
      </c>
      <c r="T92" s="113" t="s">
        <v>433</v>
      </c>
    </row>
    <row r="93" spans="1:1023" ht="30" customHeight="1" x14ac:dyDescent="0.25">
      <c r="A93" s="24">
        <f>A92+1</f>
        <v>84</v>
      </c>
      <c r="B93" s="114"/>
      <c r="C93" s="115"/>
      <c r="D93" s="67" t="s">
        <v>185</v>
      </c>
      <c r="E93" s="68" t="s">
        <v>21</v>
      </c>
      <c r="F93" s="68" t="s">
        <v>408</v>
      </c>
      <c r="G93" s="67"/>
      <c r="H93" s="116" t="s">
        <v>41</v>
      </c>
      <c r="I93" s="102" t="s">
        <v>434</v>
      </c>
      <c r="J93" s="117" t="s">
        <v>44</v>
      </c>
      <c r="K93" s="118">
        <v>13</v>
      </c>
      <c r="L93" s="63" t="s">
        <v>435</v>
      </c>
      <c r="M93" s="119"/>
      <c r="N93" s="120"/>
      <c r="O93" s="121"/>
      <c r="P93" s="119"/>
      <c r="Q93" s="122"/>
      <c r="R93" s="119"/>
      <c r="S93" s="122" t="e">
        <f>#N/A</f>
        <v>#N/A</v>
      </c>
      <c r="T93" s="123"/>
    </row>
    <row r="94" spans="1:1023" s="124" customFormat="1" ht="30" customHeight="1" x14ac:dyDescent="0.25">
      <c r="A94" s="74" t="e">
        <f>REPT(#REF!,#REF!)</f>
        <v>#REF!</v>
      </c>
      <c r="B94" s="103"/>
      <c r="C94" s="103"/>
      <c r="D94" s="72"/>
      <c r="E94" s="73" t="s">
        <v>21</v>
      </c>
      <c r="F94" s="74" t="e">
        <f>REPT(#REF!,#REF!)</f>
        <v>#REF!</v>
      </c>
      <c r="G94" s="104"/>
      <c r="H94" s="104"/>
      <c r="I94" s="105"/>
      <c r="J94" s="106"/>
      <c r="K94" s="106"/>
      <c r="L94" s="107"/>
      <c r="M94" s="108"/>
      <c r="N94" s="74"/>
      <c r="O94" s="104"/>
      <c r="P94" s="108"/>
      <c r="Q94" s="108"/>
      <c r="R94" s="108"/>
      <c r="S94" s="109"/>
      <c r="T94" s="10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</row>
    <row r="95" spans="1:1023" ht="30" customHeight="1" x14ac:dyDescent="0.25">
      <c r="A95" s="24">
        <f>A93+1</f>
        <v>85</v>
      </c>
      <c r="B95" s="125" t="s">
        <v>225</v>
      </c>
      <c r="C95" s="25"/>
      <c r="D95" s="25"/>
      <c r="E95" s="26" t="s">
        <v>21</v>
      </c>
      <c r="F95" s="26" t="s">
        <v>436</v>
      </c>
      <c r="G95" s="87"/>
      <c r="H95" s="126" t="s">
        <v>27</v>
      </c>
      <c r="I95" s="127" t="s">
        <v>437</v>
      </c>
      <c r="J95" s="128" t="s">
        <v>33</v>
      </c>
      <c r="K95" s="128" t="s">
        <v>68</v>
      </c>
      <c r="L95" s="129" t="s">
        <v>438</v>
      </c>
      <c r="M95" s="87">
        <v>32970</v>
      </c>
      <c r="N95" s="130" t="s">
        <v>439</v>
      </c>
      <c r="O95" s="26" t="s">
        <v>47</v>
      </c>
      <c r="P95" s="26" t="s">
        <v>48</v>
      </c>
      <c r="Q95" s="131" t="s">
        <v>440</v>
      </c>
      <c r="R95" s="26">
        <v>2</v>
      </c>
      <c r="S95" s="131" t="s">
        <v>441</v>
      </c>
      <c r="T95" s="132" t="s">
        <v>442</v>
      </c>
    </row>
    <row r="96" spans="1:1023" ht="30" customHeight="1" x14ac:dyDescent="0.25">
      <c r="A96" s="24">
        <f t="shared" ref="A96:A105" si="3">A95+1</f>
        <v>86</v>
      </c>
      <c r="B96" s="23" t="s">
        <v>225</v>
      </c>
      <c r="C96" s="24" t="s">
        <v>313</v>
      </c>
      <c r="D96" s="24"/>
      <c r="E96" s="30" t="s">
        <v>21</v>
      </c>
      <c r="F96" s="30" t="s">
        <v>436</v>
      </c>
      <c r="G96" s="33"/>
      <c r="H96" s="37" t="s">
        <v>27</v>
      </c>
      <c r="I96" s="90" t="s">
        <v>443</v>
      </c>
      <c r="J96" s="41" t="s">
        <v>43</v>
      </c>
      <c r="K96" s="41" t="s">
        <v>68</v>
      </c>
      <c r="L96" s="89" t="s">
        <v>444</v>
      </c>
      <c r="M96" s="33">
        <v>32050</v>
      </c>
      <c r="N96" s="40" t="s">
        <v>445</v>
      </c>
      <c r="O96" s="30" t="s">
        <v>47</v>
      </c>
      <c r="P96" s="30" t="s">
        <v>48</v>
      </c>
      <c r="Q96" s="35" t="s">
        <v>446</v>
      </c>
      <c r="R96" s="30">
        <v>2</v>
      </c>
      <c r="S96" s="35" t="s">
        <v>447</v>
      </c>
      <c r="T96" s="53" t="s">
        <v>448</v>
      </c>
    </row>
    <row r="97" spans="1:20" ht="30" customHeight="1" x14ac:dyDescent="0.25">
      <c r="A97" s="24">
        <f t="shared" si="3"/>
        <v>87</v>
      </c>
      <c r="B97" s="23" t="s">
        <v>225</v>
      </c>
      <c r="C97" s="24"/>
      <c r="D97" s="24"/>
      <c r="E97" s="30" t="s">
        <v>21</v>
      </c>
      <c r="F97" s="30" t="s">
        <v>436</v>
      </c>
      <c r="G97" s="33"/>
      <c r="H97" s="43" t="s">
        <v>41</v>
      </c>
      <c r="I97" s="90" t="s">
        <v>449</v>
      </c>
      <c r="J97" s="41" t="s">
        <v>43</v>
      </c>
      <c r="K97" s="30" t="s">
        <v>43</v>
      </c>
      <c r="L97" s="89" t="s">
        <v>450</v>
      </c>
      <c r="M97" s="33">
        <v>29980</v>
      </c>
      <c r="N97" s="40" t="s">
        <v>451</v>
      </c>
      <c r="O97" s="30" t="s">
        <v>47</v>
      </c>
      <c r="P97" s="30" t="s">
        <v>48</v>
      </c>
      <c r="Q97" s="35" t="s">
        <v>452</v>
      </c>
      <c r="R97" s="30">
        <v>1</v>
      </c>
      <c r="S97" s="35" t="s">
        <v>84</v>
      </c>
      <c r="T97" s="53" t="s">
        <v>453</v>
      </c>
    </row>
    <row r="98" spans="1:20" ht="30" customHeight="1" x14ac:dyDescent="0.25">
      <c r="A98" s="24">
        <f t="shared" si="3"/>
        <v>88</v>
      </c>
      <c r="B98" s="23" t="s">
        <v>225</v>
      </c>
      <c r="C98" s="24"/>
      <c r="D98" s="24"/>
      <c r="E98" s="30" t="s">
        <v>21</v>
      </c>
      <c r="F98" s="30" t="s">
        <v>436</v>
      </c>
      <c r="G98" s="33"/>
      <c r="H98" s="37" t="s">
        <v>27</v>
      </c>
      <c r="I98" s="90" t="s">
        <v>454</v>
      </c>
      <c r="J98" s="117" t="s">
        <v>43</v>
      </c>
      <c r="K98" s="117" t="s">
        <v>43</v>
      </c>
      <c r="L98" s="133" t="s">
        <v>455</v>
      </c>
      <c r="M98" s="69">
        <v>31324</v>
      </c>
      <c r="N98" s="134" t="s">
        <v>456</v>
      </c>
      <c r="O98" s="68" t="s">
        <v>457</v>
      </c>
      <c r="P98" s="68" t="s">
        <v>48</v>
      </c>
      <c r="Q98" s="135" t="s">
        <v>458</v>
      </c>
      <c r="R98" s="68">
        <v>1</v>
      </c>
      <c r="S98" s="135" t="s">
        <v>459</v>
      </c>
      <c r="T98" s="136" t="s">
        <v>460</v>
      </c>
    </row>
    <row r="99" spans="1:20" ht="30" customHeight="1" x14ac:dyDescent="0.25">
      <c r="A99" s="24">
        <f t="shared" si="3"/>
        <v>89</v>
      </c>
      <c r="B99" s="23" t="s">
        <v>225</v>
      </c>
      <c r="C99" s="24"/>
      <c r="D99" s="24"/>
      <c r="E99" s="30" t="s">
        <v>21</v>
      </c>
      <c r="F99" s="30" t="s">
        <v>436</v>
      </c>
      <c r="G99" s="33"/>
      <c r="H99" s="43" t="s">
        <v>41</v>
      </c>
      <c r="I99" s="91" t="s">
        <v>461</v>
      </c>
      <c r="J99" s="41" t="s">
        <v>68</v>
      </c>
      <c r="K99" s="41" t="s">
        <v>100</v>
      </c>
      <c r="L99" s="137" t="s">
        <v>462</v>
      </c>
      <c r="M99" s="33">
        <v>35608</v>
      </c>
      <c r="N99" s="40" t="s">
        <v>463</v>
      </c>
      <c r="O99" s="30" t="s">
        <v>47</v>
      </c>
      <c r="P99" s="30" t="s">
        <v>37</v>
      </c>
      <c r="Q99" s="35" t="s">
        <v>464</v>
      </c>
      <c r="R99" s="30"/>
      <c r="S99" s="35" t="s">
        <v>465</v>
      </c>
      <c r="T99" s="47" t="s">
        <v>466</v>
      </c>
    </row>
    <row r="100" spans="1:20" ht="30" customHeight="1" x14ac:dyDescent="0.25">
      <c r="A100" s="24">
        <f t="shared" si="3"/>
        <v>90</v>
      </c>
      <c r="B100" s="23" t="s">
        <v>225</v>
      </c>
      <c r="C100" s="24"/>
      <c r="D100" s="24" t="s">
        <v>185</v>
      </c>
      <c r="E100" s="30" t="s">
        <v>21</v>
      </c>
      <c r="F100" s="30" t="s">
        <v>436</v>
      </c>
      <c r="G100" s="33"/>
      <c r="H100" s="43" t="s">
        <v>41</v>
      </c>
      <c r="I100" s="92" t="s">
        <v>467</v>
      </c>
      <c r="J100" s="41" t="s">
        <v>44</v>
      </c>
      <c r="K100" s="41" t="s">
        <v>100</v>
      </c>
      <c r="L100" s="100" t="s">
        <v>468</v>
      </c>
      <c r="M100" s="33">
        <v>34911</v>
      </c>
      <c r="N100" s="40" t="s">
        <v>469</v>
      </c>
      <c r="O100" s="30" t="s">
        <v>47</v>
      </c>
      <c r="P100" s="30" t="s">
        <v>48</v>
      </c>
      <c r="Q100" s="35" t="s">
        <v>470</v>
      </c>
      <c r="R100" s="30"/>
      <c r="S100" s="35" t="s">
        <v>471</v>
      </c>
      <c r="T100" s="47" t="s">
        <v>472</v>
      </c>
    </row>
    <row r="101" spans="1:20" ht="30" customHeight="1" x14ac:dyDescent="0.25">
      <c r="A101" s="24">
        <f t="shared" si="3"/>
        <v>91</v>
      </c>
      <c r="B101" s="23" t="s">
        <v>225</v>
      </c>
      <c r="C101" s="24"/>
      <c r="D101" s="24" t="s">
        <v>185</v>
      </c>
      <c r="E101" s="30" t="s">
        <v>21</v>
      </c>
      <c r="F101" s="30" t="s">
        <v>436</v>
      </c>
      <c r="G101" s="33"/>
      <c r="H101" s="43" t="s">
        <v>41</v>
      </c>
      <c r="I101" s="92" t="s">
        <v>473</v>
      </c>
      <c r="J101" s="41" t="s">
        <v>44</v>
      </c>
      <c r="K101" s="38">
        <v>14</v>
      </c>
      <c r="L101" s="63" t="s">
        <v>474</v>
      </c>
      <c r="M101" s="46"/>
      <c r="N101" s="48"/>
      <c r="O101" s="49"/>
      <c r="P101" s="46"/>
      <c r="Q101" s="50"/>
      <c r="R101" s="46"/>
      <c r="S101" s="50"/>
      <c r="T101" s="46"/>
    </row>
    <row r="102" spans="1:20" ht="30" customHeight="1" x14ac:dyDescent="0.25">
      <c r="A102" s="24">
        <f t="shared" si="3"/>
        <v>92</v>
      </c>
      <c r="B102" s="23" t="s">
        <v>225</v>
      </c>
      <c r="C102" s="24"/>
      <c r="D102" s="24" t="s">
        <v>185</v>
      </c>
      <c r="E102" s="30" t="s">
        <v>21</v>
      </c>
      <c r="F102" s="30" t="s">
        <v>436</v>
      </c>
      <c r="G102" s="33"/>
      <c r="H102" s="43" t="s">
        <v>41</v>
      </c>
      <c r="I102" s="92" t="s">
        <v>475</v>
      </c>
      <c r="J102" s="41" t="s">
        <v>44</v>
      </c>
      <c r="K102" s="30" t="s">
        <v>68</v>
      </c>
      <c r="L102" s="89" t="s">
        <v>476</v>
      </c>
      <c r="M102" s="33">
        <v>32226</v>
      </c>
      <c r="N102" s="40" t="s">
        <v>477</v>
      </c>
      <c r="O102" s="30" t="s">
        <v>47</v>
      </c>
      <c r="P102" s="30" t="s">
        <v>48</v>
      </c>
      <c r="Q102" s="35" t="s">
        <v>478</v>
      </c>
      <c r="R102" s="30"/>
      <c r="S102" s="35" t="s">
        <v>479</v>
      </c>
      <c r="T102" s="53" t="s">
        <v>480</v>
      </c>
    </row>
    <row r="103" spans="1:20" ht="30" customHeight="1" x14ac:dyDescent="0.25">
      <c r="A103" s="24">
        <f t="shared" si="3"/>
        <v>93</v>
      </c>
      <c r="B103" s="23" t="s">
        <v>225</v>
      </c>
      <c r="C103" s="24"/>
      <c r="D103" s="24"/>
      <c r="E103" s="30" t="s">
        <v>21</v>
      </c>
      <c r="F103" s="30" t="s">
        <v>436</v>
      </c>
      <c r="G103" s="33"/>
      <c r="H103" s="43" t="s">
        <v>41</v>
      </c>
      <c r="I103" s="91" t="s">
        <v>481</v>
      </c>
      <c r="J103" s="41" t="s">
        <v>68</v>
      </c>
      <c r="K103" s="41" t="s">
        <v>44</v>
      </c>
      <c r="L103" s="93" t="s">
        <v>482</v>
      </c>
      <c r="M103" s="33">
        <v>34716</v>
      </c>
      <c r="N103" s="40" t="s">
        <v>483</v>
      </c>
      <c r="O103" s="30" t="s">
        <v>47</v>
      </c>
      <c r="P103" s="30" t="s">
        <v>48</v>
      </c>
      <c r="Q103" s="35" t="s">
        <v>484</v>
      </c>
      <c r="R103" s="30"/>
      <c r="S103" s="35" t="s">
        <v>485</v>
      </c>
      <c r="T103" s="53" t="s">
        <v>486</v>
      </c>
    </row>
    <row r="104" spans="1:20" ht="30" customHeight="1" x14ac:dyDescent="0.25">
      <c r="A104" s="24">
        <f t="shared" si="3"/>
        <v>94</v>
      </c>
      <c r="B104" s="23" t="s">
        <v>225</v>
      </c>
      <c r="C104" s="24" t="s">
        <v>31</v>
      </c>
      <c r="D104" s="24" t="s">
        <v>185</v>
      </c>
      <c r="E104" s="30" t="s">
        <v>21</v>
      </c>
      <c r="F104" s="30" t="s">
        <v>436</v>
      </c>
      <c r="G104" s="33"/>
      <c r="H104" s="43" t="s">
        <v>41</v>
      </c>
      <c r="I104" s="96" t="s">
        <v>487</v>
      </c>
      <c r="J104" s="41" t="s">
        <v>44</v>
      </c>
      <c r="K104" s="38">
        <v>15</v>
      </c>
      <c r="L104" s="63" t="s">
        <v>488</v>
      </c>
      <c r="N104" s="3"/>
      <c r="O104" s="4"/>
      <c r="P104"/>
      <c r="Q104" s="5"/>
      <c r="R104"/>
      <c r="S104" s="5"/>
      <c r="T104"/>
    </row>
    <row r="105" spans="1:20" ht="30" customHeight="1" x14ac:dyDescent="0.25">
      <c r="A105" s="24">
        <f t="shared" si="3"/>
        <v>95</v>
      </c>
      <c r="B105" s="23" t="s">
        <v>225</v>
      </c>
      <c r="C105" s="24"/>
      <c r="D105" s="24" t="s">
        <v>185</v>
      </c>
      <c r="E105" s="30" t="s">
        <v>21</v>
      </c>
      <c r="F105" s="30" t="s">
        <v>436</v>
      </c>
      <c r="G105" s="33"/>
      <c r="H105" s="43" t="s">
        <v>41</v>
      </c>
      <c r="I105" s="92" t="s">
        <v>489</v>
      </c>
      <c r="J105" s="41" t="s">
        <v>44</v>
      </c>
      <c r="K105" s="41" t="s">
        <v>100</v>
      </c>
      <c r="L105" s="97" t="s">
        <v>490</v>
      </c>
      <c r="M105" s="33">
        <v>35327</v>
      </c>
      <c r="N105" s="40" t="s">
        <v>491</v>
      </c>
      <c r="O105" s="30" t="s">
        <v>47</v>
      </c>
      <c r="P105" s="30" t="s">
        <v>48</v>
      </c>
      <c r="Q105" s="35" t="s">
        <v>492</v>
      </c>
      <c r="R105" s="30"/>
      <c r="S105" s="35" t="s">
        <v>493</v>
      </c>
      <c r="T105" s="36"/>
    </row>
    <row r="106" spans="1:20" ht="30" customHeight="1" x14ac:dyDescent="0.25">
      <c r="A106" s="24"/>
      <c r="B106" s="23"/>
      <c r="C106" s="24"/>
      <c r="D106" s="24"/>
      <c r="E106" s="30" t="s">
        <v>21</v>
      </c>
      <c r="F106" s="30" t="s">
        <v>436</v>
      </c>
      <c r="G106" s="33"/>
      <c r="H106" s="43"/>
      <c r="I106" s="92" t="s">
        <v>489</v>
      </c>
      <c r="J106" s="41"/>
      <c r="K106" s="98"/>
      <c r="L106" s="63" t="s">
        <v>494</v>
      </c>
      <c r="M106" s="33"/>
      <c r="N106" s="40"/>
      <c r="O106" s="30"/>
      <c r="P106" s="30"/>
      <c r="Q106" s="35"/>
      <c r="R106" s="30"/>
      <c r="S106" s="35"/>
      <c r="T106" s="36"/>
    </row>
    <row r="107" spans="1:20" ht="30" customHeight="1" x14ac:dyDescent="0.25">
      <c r="A107" s="24">
        <f>A105+1</f>
        <v>96</v>
      </c>
      <c r="B107" s="23" t="s">
        <v>225</v>
      </c>
      <c r="C107" s="24"/>
      <c r="D107" s="67" t="s">
        <v>185</v>
      </c>
      <c r="E107" s="68" t="s">
        <v>21</v>
      </c>
      <c r="F107" s="68" t="s">
        <v>436</v>
      </c>
      <c r="G107" s="69"/>
      <c r="H107" s="116" t="s">
        <v>41</v>
      </c>
      <c r="I107" s="102" t="s">
        <v>495</v>
      </c>
      <c r="J107" s="41" t="s">
        <v>44</v>
      </c>
      <c r="K107" s="41" t="s">
        <v>100</v>
      </c>
      <c r="L107" s="97" t="s">
        <v>496</v>
      </c>
      <c r="M107" s="33">
        <v>35482</v>
      </c>
      <c r="N107" s="40" t="s">
        <v>497</v>
      </c>
      <c r="O107" s="30" t="s">
        <v>370</v>
      </c>
      <c r="P107" s="30" t="s">
        <v>37</v>
      </c>
      <c r="Q107" s="35" t="s">
        <v>498</v>
      </c>
      <c r="R107" s="30"/>
      <c r="S107" s="35" t="s">
        <v>499</v>
      </c>
      <c r="T107" s="53" t="s">
        <v>500</v>
      </c>
    </row>
    <row r="108" spans="1:20" ht="30" customHeight="1" x14ac:dyDescent="0.25">
      <c r="A108" s="70" t="e">
        <f>REPT(#REF!,#REF!)</f>
        <v>#REF!</v>
      </c>
      <c r="B108" s="71"/>
      <c r="C108" s="72"/>
      <c r="D108" s="72"/>
      <c r="E108" s="73" t="s">
        <v>21</v>
      </c>
      <c r="F108" s="74" t="e">
        <f>REPT(#REF!,#REF!)</f>
        <v>#REF!</v>
      </c>
      <c r="G108" s="104"/>
      <c r="H108" s="104"/>
      <c r="I108" s="105"/>
      <c r="J108" s="138"/>
      <c r="K108" s="138"/>
      <c r="L108" s="139"/>
      <c r="M108" s="76"/>
      <c r="N108" s="70"/>
      <c r="O108" s="140"/>
      <c r="P108" s="108"/>
      <c r="Q108" s="104"/>
      <c r="R108" s="108"/>
      <c r="S108" s="108"/>
      <c r="T108" s="104"/>
    </row>
    <row r="109" spans="1:20" ht="30" customHeight="1" x14ac:dyDescent="0.25">
      <c r="A109" s="24">
        <f>A107+1</f>
        <v>97</v>
      </c>
      <c r="B109" s="23" t="s">
        <v>228</v>
      </c>
      <c r="C109" s="24"/>
      <c r="D109" s="25"/>
      <c r="E109" s="26" t="s">
        <v>21</v>
      </c>
      <c r="F109" s="26" t="s">
        <v>501</v>
      </c>
      <c r="G109" s="87"/>
      <c r="H109" s="110" t="s">
        <v>41</v>
      </c>
      <c r="I109" s="111" t="s">
        <v>502</v>
      </c>
      <c r="J109" s="41" t="s">
        <v>68</v>
      </c>
      <c r="K109" s="41" t="s">
        <v>100</v>
      </c>
      <c r="L109" s="137" t="s">
        <v>503</v>
      </c>
      <c r="M109" s="33">
        <v>35506</v>
      </c>
      <c r="N109" s="40" t="s">
        <v>504</v>
      </c>
      <c r="O109" s="30" t="s">
        <v>47</v>
      </c>
      <c r="P109" s="30" t="s">
        <v>48</v>
      </c>
      <c r="Q109" s="35" t="s">
        <v>505</v>
      </c>
      <c r="R109" s="30"/>
      <c r="S109" s="35" t="s">
        <v>506</v>
      </c>
      <c r="T109" s="47" t="s">
        <v>507</v>
      </c>
    </row>
    <row r="110" spans="1:20" ht="30" customHeight="1" x14ac:dyDescent="0.25">
      <c r="A110" s="24">
        <f>A109+1</f>
        <v>98</v>
      </c>
      <c r="B110" s="23" t="s">
        <v>228</v>
      </c>
      <c r="C110" s="24"/>
      <c r="D110" s="24" t="s">
        <v>185</v>
      </c>
      <c r="E110" s="30" t="s">
        <v>21</v>
      </c>
      <c r="F110" s="30" t="s">
        <v>501</v>
      </c>
      <c r="G110" s="33"/>
      <c r="H110" s="43" t="s">
        <v>41</v>
      </c>
      <c r="I110" s="92" t="s">
        <v>508</v>
      </c>
      <c r="J110" s="41" t="s">
        <v>44</v>
      </c>
      <c r="K110" s="38">
        <v>16</v>
      </c>
      <c r="L110" s="141" t="s">
        <v>29</v>
      </c>
      <c r="M110" s="46"/>
      <c r="N110" s="48"/>
      <c r="O110" s="49"/>
      <c r="P110" s="46"/>
      <c r="Q110" s="50"/>
      <c r="R110" s="46"/>
      <c r="S110" s="50"/>
      <c r="T110" s="46"/>
    </row>
    <row r="111" spans="1:20" ht="30" customHeight="1" x14ac:dyDescent="0.25">
      <c r="A111" s="24">
        <f>A110+1</f>
        <v>99</v>
      </c>
      <c r="B111" s="23" t="s">
        <v>228</v>
      </c>
      <c r="C111" s="24"/>
      <c r="D111" s="24" t="s">
        <v>185</v>
      </c>
      <c r="E111" s="30" t="s">
        <v>21</v>
      </c>
      <c r="F111" s="30" t="s">
        <v>501</v>
      </c>
      <c r="G111" s="33"/>
      <c r="H111" s="43" t="s">
        <v>41</v>
      </c>
      <c r="I111" s="92" t="s">
        <v>509</v>
      </c>
      <c r="J111" s="41" t="s">
        <v>44</v>
      </c>
      <c r="K111" s="38">
        <v>17</v>
      </c>
      <c r="L111" s="141" t="s">
        <v>29</v>
      </c>
      <c r="M111" s="33"/>
      <c r="N111" s="40"/>
      <c r="O111" s="30"/>
      <c r="P111" s="30"/>
      <c r="Q111" s="35"/>
      <c r="R111" s="30"/>
      <c r="S111" s="35"/>
      <c r="T111" s="36"/>
    </row>
    <row r="112" spans="1:20" ht="30" customHeight="1" x14ac:dyDescent="0.25">
      <c r="A112" s="24">
        <f>A111+1</f>
        <v>100</v>
      </c>
      <c r="B112" s="23" t="s">
        <v>228</v>
      </c>
      <c r="C112" s="24"/>
      <c r="D112" s="24" t="s">
        <v>185</v>
      </c>
      <c r="E112" s="30" t="s">
        <v>21</v>
      </c>
      <c r="F112" s="30" t="s">
        <v>501</v>
      </c>
      <c r="G112" s="33"/>
      <c r="H112" s="43" t="s">
        <v>41</v>
      </c>
      <c r="I112" s="92" t="s">
        <v>510</v>
      </c>
      <c r="J112" s="41" t="s">
        <v>44</v>
      </c>
      <c r="K112" s="38">
        <v>18</v>
      </c>
      <c r="L112" s="141" t="s">
        <v>29</v>
      </c>
      <c r="M112" s="55"/>
      <c r="N112" s="40"/>
      <c r="O112" s="24"/>
      <c r="P112" s="30"/>
      <c r="Q112" s="35"/>
      <c r="R112" s="30"/>
      <c r="S112" s="35"/>
      <c r="T112" s="36"/>
    </row>
    <row r="113" spans="1:20" ht="30" customHeight="1" x14ac:dyDescent="0.25">
      <c r="A113" s="24">
        <f>A112+1</f>
        <v>101</v>
      </c>
      <c r="B113" s="23" t="s">
        <v>228</v>
      </c>
      <c r="C113" s="24"/>
      <c r="D113" s="67" t="s">
        <v>185</v>
      </c>
      <c r="E113" s="68" t="s">
        <v>21</v>
      </c>
      <c r="F113" s="68" t="s">
        <v>501</v>
      </c>
      <c r="G113" s="69"/>
      <c r="H113" s="116" t="s">
        <v>41</v>
      </c>
      <c r="I113" s="92" t="s">
        <v>511</v>
      </c>
      <c r="J113" s="41" t="s">
        <v>44</v>
      </c>
      <c r="K113" s="41" t="s">
        <v>100</v>
      </c>
      <c r="L113" s="142" t="s">
        <v>512</v>
      </c>
      <c r="M113" s="55">
        <v>35745</v>
      </c>
      <c r="N113" s="40" t="s">
        <v>513</v>
      </c>
      <c r="O113" s="24" t="s">
        <v>47</v>
      </c>
      <c r="P113" s="30" t="s">
        <v>48</v>
      </c>
      <c r="Q113" s="35" t="s">
        <v>514</v>
      </c>
      <c r="R113" s="30"/>
      <c r="S113" s="35" t="s">
        <v>515</v>
      </c>
      <c r="T113" s="47" t="s">
        <v>516</v>
      </c>
    </row>
    <row r="114" spans="1:20" ht="30" customHeight="1" x14ac:dyDescent="0.25">
      <c r="A114" s="70" t="e">
        <f>REPT(#REF!,#REF!)</f>
        <v>#REF!</v>
      </c>
      <c r="B114" s="71"/>
      <c r="C114" s="72"/>
      <c r="D114" s="72"/>
      <c r="E114" s="73" t="s">
        <v>21</v>
      </c>
      <c r="F114" s="74" t="e">
        <f>REPT(#REF!,#REF!)</f>
        <v>#REF!</v>
      </c>
      <c r="G114" s="104"/>
      <c r="H114" s="75"/>
      <c r="I114" s="105"/>
      <c r="J114" s="138"/>
      <c r="K114" s="138"/>
      <c r="L114" s="139"/>
      <c r="M114" s="76"/>
      <c r="N114" s="70"/>
      <c r="O114" s="140"/>
      <c r="P114" s="108"/>
      <c r="Q114" s="108"/>
      <c r="R114" s="108"/>
      <c r="S114" s="109"/>
      <c r="T114" s="104"/>
    </row>
    <row r="115" spans="1:20" ht="30" customHeight="1" x14ac:dyDescent="0.25">
      <c r="A115" s="24">
        <f>A113+1</f>
        <v>102</v>
      </c>
      <c r="B115" s="23"/>
      <c r="C115" s="24"/>
      <c r="D115" s="25"/>
      <c r="E115" s="26" t="s">
        <v>21</v>
      </c>
      <c r="F115" s="26" t="s">
        <v>517</v>
      </c>
      <c r="G115" s="87"/>
      <c r="H115" s="126" t="s">
        <v>27</v>
      </c>
      <c r="I115" s="91" t="s">
        <v>518</v>
      </c>
      <c r="J115" s="41" t="s">
        <v>68</v>
      </c>
      <c r="K115" s="117" t="s">
        <v>68</v>
      </c>
      <c r="L115" s="143" t="s">
        <v>519</v>
      </c>
      <c r="M115" s="69">
        <v>32245</v>
      </c>
      <c r="N115" s="134" t="s">
        <v>520</v>
      </c>
      <c r="O115" s="68" t="s">
        <v>47</v>
      </c>
      <c r="P115" s="68" t="s">
        <v>48</v>
      </c>
      <c r="Q115" s="144" t="s">
        <v>521</v>
      </c>
      <c r="R115" s="145"/>
      <c r="S115" s="135" t="s">
        <v>522</v>
      </c>
      <c r="T115" s="68" t="s">
        <v>523</v>
      </c>
    </row>
    <row r="116" spans="1:20" ht="30" customHeight="1" x14ac:dyDescent="0.25">
      <c r="A116" s="24">
        <f t="shared" ref="A116:A123" si="4">A115+1</f>
        <v>103</v>
      </c>
      <c r="B116" s="23"/>
      <c r="C116" s="24" t="s">
        <v>31</v>
      </c>
      <c r="D116" s="24" t="s">
        <v>185</v>
      </c>
      <c r="E116" s="30" t="s">
        <v>21</v>
      </c>
      <c r="F116" s="30" t="s">
        <v>517</v>
      </c>
      <c r="G116" s="33"/>
      <c r="H116" s="43" t="s">
        <v>41</v>
      </c>
      <c r="I116" s="96" t="s">
        <v>524</v>
      </c>
      <c r="J116" s="41" t="s">
        <v>44</v>
      </c>
      <c r="K116" s="30" t="s">
        <v>100</v>
      </c>
      <c r="L116" s="56" t="s">
        <v>525</v>
      </c>
      <c r="M116" s="33">
        <v>35426</v>
      </c>
      <c r="N116" s="40" t="s">
        <v>526</v>
      </c>
      <c r="O116" s="30" t="s">
        <v>47</v>
      </c>
      <c r="P116" s="30" t="s">
        <v>527</v>
      </c>
      <c r="Q116" s="35" t="s">
        <v>528</v>
      </c>
      <c r="R116" s="30"/>
      <c r="S116" s="35" t="e">
        <f>#N/A</f>
        <v>#N/A</v>
      </c>
      <c r="T116" s="53" t="s">
        <v>529</v>
      </c>
    </row>
    <row r="117" spans="1:20" ht="30" customHeight="1" x14ac:dyDescent="0.25">
      <c r="A117" s="24">
        <f t="shared" si="4"/>
        <v>104</v>
      </c>
      <c r="B117" s="23"/>
      <c r="C117" s="24"/>
      <c r="D117" s="24" t="s">
        <v>185</v>
      </c>
      <c r="E117" s="30" t="s">
        <v>21</v>
      </c>
      <c r="F117" s="30" t="s">
        <v>517</v>
      </c>
      <c r="G117" s="33"/>
      <c r="H117" s="43" t="s">
        <v>41</v>
      </c>
      <c r="I117" s="92" t="s">
        <v>530</v>
      </c>
      <c r="J117" s="41" t="s">
        <v>44</v>
      </c>
      <c r="K117" s="146" t="s">
        <v>100</v>
      </c>
      <c r="L117" s="147" t="s">
        <v>531</v>
      </c>
      <c r="M117" s="33">
        <v>33788</v>
      </c>
      <c r="N117" s="48"/>
      <c r="O117" s="49"/>
      <c r="P117" s="46"/>
      <c r="Q117" s="50"/>
      <c r="R117" s="46"/>
      <c r="S117" s="50" t="e">
        <f>#N/A</f>
        <v>#N/A</v>
      </c>
      <c r="T117" s="46"/>
    </row>
    <row r="118" spans="1:20" ht="30" customHeight="1" x14ac:dyDescent="0.25">
      <c r="A118" s="24">
        <f t="shared" si="4"/>
        <v>105</v>
      </c>
      <c r="B118" s="23"/>
      <c r="C118" s="24"/>
      <c r="D118" s="24" t="s">
        <v>185</v>
      </c>
      <c r="E118" s="30" t="s">
        <v>21</v>
      </c>
      <c r="F118" s="30" t="s">
        <v>517</v>
      </c>
      <c r="G118" s="33"/>
      <c r="H118" s="43" t="s">
        <v>41</v>
      </c>
      <c r="I118" s="92" t="s">
        <v>532</v>
      </c>
      <c r="J118" s="41" t="s">
        <v>44</v>
      </c>
      <c r="K118" s="41" t="s">
        <v>100</v>
      </c>
      <c r="L118" s="66" t="s">
        <v>533</v>
      </c>
      <c r="M118" s="55">
        <v>35616</v>
      </c>
      <c r="N118" s="40" t="s">
        <v>534</v>
      </c>
      <c r="O118" s="24" t="s">
        <v>47</v>
      </c>
      <c r="P118" s="30" t="s">
        <v>48</v>
      </c>
      <c r="Q118" s="35" t="s">
        <v>535</v>
      </c>
      <c r="R118" s="30"/>
      <c r="S118" s="35" t="s">
        <v>536</v>
      </c>
      <c r="T118" s="47" t="s">
        <v>537</v>
      </c>
    </row>
    <row r="119" spans="1:20" ht="30" customHeight="1" x14ac:dyDescent="0.25">
      <c r="A119" s="24">
        <f t="shared" si="4"/>
        <v>106</v>
      </c>
      <c r="B119" s="23"/>
      <c r="C119" s="24"/>
      <c r="D119" s="24" t="s">
        <v>185</v>
      </c>
      <c r="E119" s="30" t="s">
        <v>21</v>
      </c>
      <c r="F119" s="30" t="s">
        <v>517</v>
      </c>
      <c r="G119" s="33"/>
      <c r="H119" s="43" t="s">
        <v>41</v>
      </c>
      <c r="I119" s="92" t="s">
        <v>538</v>
      </c>
      <c r="J119" s="41" t="s">
        <v>44</v>
      </c>
      <c r="K119" s="128" t="s">
        <v>44</v>
      </c>
      <c r="L119" s="148" t="s">
        <v>539</v>
      </c>
      <c r="M119" s="87">
        <v>35073</v>
      </c>
      <c r="N119" s="130" t="s">
        <v>540</v>
      </c>
      <c r="O119" s="26" t="s">
        <v>47</v>
      </c>
      <c r="P119" s="26" t="s">
        <v>37</v>
      </c>
      <c r="Q119" s="131" t="s">
        <v>541</v>
      </c>
      <c r="R119" s="26"/>
      <c r="S119" s="131" t="s">
        <v>542</v>
      </c>
      <c r="T119" s="132" t="s">
        <v>543</v>
      </c>
    </row>
    <row r="120" spans="1:20" ht="30" customHeight="1" x14ac:dyDescent="0.25">
      <c r="A120" s="24">
        <f t="shared" si="4"/>
        <v>107</v>
      </c>
      <c r="B120" s="23"/>
      <c r="C120" s="24"/>
      <c r="D120" s="24" t="s">
        <v>185</v>
      </c>
      <c r="E120" s="30" t="s">
        <v>21</v>
      </c>
      <c r="F120" s="30" t="s">
        <v>517</v>
      </c>
      <c r="G120" s="33"/>
      <c r="H120" s="43" t="s">
        <v>41</v>
      </c>
      <c r="I120" s="92" t="s">
        <v>544</v>
      </c>
      <c r="J120" s="41" t="s">
        <v>44</v>
      </c>
      <c r="K120" s="30" t="s">
        <v>44</v>
      </c>
      <c r="L120" s="45" t="s">
        <v>545</v>
      </c>
      <c r="M120" s="33">
        <v>33606</v>
      </c>
      <c r="N120" s="40" t="s">
        <v>546</v>
      </c>
      <c r="O120" s="30" t="s">
        <v>47</v>
      </c>
      <c r="P120" s="30" t="s">
        <v>37</v>
      </c>
      <c r="Q120" s="35" t="s">
        <v>547</v>
      </c>
      <c r="R120" s="30"/>
      <c r="S120" s="35" t="s">
        <v>548</v>
      </c>
      <c r="T120" s="53" t="s">
        <v>549</v>
      </c>
    </row>
    <row r="121" spans="1:20" ht="30" customHeight="1" x14ac:dyDescent="0.25">
      <c r="A121" s="24">
        <f t="shared" si="4"/>
        <v>108</v>
      </c>
      <c r="B121" s="23"/>
      <c r="C121" s="24"/>
      <c r="D121" s="24" t="s">
        <v>185</v>
      </c>
      <c r="E121" s="30" t="s">
        <v>21</v>
      </c>
      <c r="F121" s="68" t="s">
        <v>517</v>
      </c>
      <c r="G121" s="69"/>
      <c r="H121" s="116" t="s">
        <v>41</v>
      </c>
      <c r="I121" s="102" t="s">
        <v>550</v>
      </c>
      <c r="J121" s="117" t="s">
        <v>44</v>
      </c>
      <c r="K121" s="149" t="s">
        <v>551</v>
      </c>
      <c r="L121" s="144" t="s">
        <v>552</v>
      </c>
      <c r="M121" s="69">
        <v>28439</v>
      </c>
      <c r="N121" s="144" t="s">
        <v>553</v>
      </c>
      <c r="O121" s="68" t="s">
        <v>554</v>
      </c>
      <c r="P121" s="68" t="s">
        <v>48</v>
      </c>
      <c r="Q121" s="135" t="s">
        <v>555</v>
      </c>
      <c r="R121" s="68">
        <v>2</v>
      </c>
      <c r="S121" s="135" t="s">
        <v>218</v>
      </c>
      <c r="T121" s="136" t="s">
        <v>556</v>
      </c>
    </row>
    <row r="122" spans="1:20" ht="30" customHeight="1" x14ac:dyDescent="0.25">
      <c r="A122" s="24">
        <f t="shared" si="4"/>
        <v>109</v>
      </c>
      <c r="B122" s="23"/>
      <c r="C122" s="24"/>
      <c r="D122" s="24" t="s">
        <v>185</v>
      </c>
      <c r="E122" s="30" t="s">
        <v>21</v>
      </c>
      <c r="F122" s="30" t="s">
        <v>517</v>
      </c>
      <c r="G122" s="33"/>
      <c r="H122" s="43" t="s">
        <v>41</v>
      </c>
      <c r="I122" s="92" t="s">
        <v>557</v>
      </c>
      <c r="J122" s="41" t="s">
        <v>44</v>
      </c>
      <c r="K122" s="41" t="s">
        <v>100</v>
      </c>
      <c r="L122" s="150" t="s">
        <v>558</v>
      </c>
      <c r="M122" s="33">
        <v>35547</v>
      </c>
      <c r="N122" s="45" t="s">
        <v>559</v>
      </c>
      <c r="O122" s="30" t="s">
        <v>554</v>
      </c>
      <c r="P122" s="30" t="s">
        <v>37</v>
      </c>
      <c r="Q122" s="35" t="s">
        <v>560</v>
      </c>
      <c r="R122" s="30"/>
      <c r="S122" s="35" t="s">
        <v>561</v>
      </c>
      <c r="T122" s="47" t="s">
        <v>562</v>
      </c>
    </row>
    <row r="123" spans="1:20" ht="30" customHeight="1" x14ac:dyDescent="0.25">
      <c r="A123" s="24">
        <f t="shared" si="4"/>
        <v>110</v>
      </c>
      <c r="B123" s="23"/>
      <c r="C123" s="24"/>
      <c r="D123" s="67" t="s">
        <v>185</v>
      </c>
      <c r="E123" s="68" t="s">
        <v>21</v>
      </c>
      <c r="F123" s="68" t="s">
        <v>517</v>
      </c>
      <c r="G123" s="69"/>
      <c r="H123" s="101" t="s">
        <v>27</v>
      </c>
      <c r="I123" s="92" t="s">
        <v>563</v>
      </c>
      <c r="J123" s="41" t="s">
        <v>44</v>
      </c>
      <c r="K123" s="151" t="s">
        <v>100</v>
      </c>
      <c r="L123" s="63" t="s">
        <v>564</v>
      </c>
      <c r="M123" s="33">
        <v>35562</v>
      </c>
      <c r="N123" s="45" t="s">
        <v>565</v>
      </c>
      <c r="O123" s="30" t="s">
        <v>47</v>
      </c>
      <c r="P123" s="30" t="s">
        <v>37</v>
      </c>
      <c r="Q123" s="35" t="s">
        <v>566</v>
      </c>
      <c r="R123" s="30"/>
      <c r="S123" s="35" t="s">
        <v>567</v>
      </c>
      <c r="T123" s="47" t="s">
        <v>568</v>
      </c>
    </row>
    <row r="124" spans="1:20" ht="30" customHeight="1" x14ac:dyDescent="0.25">
      <c r="A124" s="70" t="e">
        <f>REPT(#REF!,#REF!)</f>
        <v>#REF!</v>
      </c>
      <c r="B124" s="71"/>
      <c r="C124" s="72"/>
      <c r="D124" s="72"/>
      <c r="E124" s="73" t="s">
        <v>21</v>
      </c>
      <c r="F124" s="74" t="e">
        <f>REPT(#REF!,#REF!)</f>
        <v>#REF!</v>
      </c>
      <c r="G124" s="104"/>
      <c r="H124" s="75"/>
      <c r="I124" s="105"/>
      <c r="J124" s="138"/>
      <c r="K124" s="138"/>
      <c r="L124" s="139"/>
      <c r="M124" s="76"/>
      <c r="N124" s="70"/>
      <c r="O124" s="140"/>
      <c r="P124" s="108"/>
      <c r="Q124" s="108"/>
      <c r="R124" s="108"/>
      <c r="S124" s="109"/>
      <c r="T124" s="104"/>
    </row>
    <row r="125" spans="1:20" ht="30" customHeight="1" x14ac:dyDescent="0.25">
      <c r="A125" s="24">
        <f>A123+1</f>
        <v>111</v>
      </c>
      <c r="B125" s="23" t="s">
        <v>93</v>
      </c>
      <c r="C125" s="24"/>
      <c r="D125" s="152" t="s">
        <v>185</v>
      </c>
      <c r="E125" s="153" t="s">
        <v>21</v>
      </c>
      <c r="F125" s="153" t="s">
        <v>569</v>
      </c>
      <c r="G125" s="154"/>
      <c r="H125" s="155" t="s">
        <v>41</v>
      </c>
      <c r="I125" s="92" t="s">
        <v>570</v>
      </c>
      <c r="J125" s="41" t="s">
        <v>44</v>
      </c>
      <c r="K125" s="156" t="s">
        <v>571</v>
      </c>
      <c r="L125" s="157" t="s">
        <v>572</v>
      </c>
      <c r="M125" s="158">
        <v>33619</v>
      </c>
      <c r="N125" s="159" t="s">
        <v>573</v>
      </c>
      <c r="O125" s="160" t="s">
        <v>47</v>
      </c>
      <c r="P125" s="160" t="s">
        <v>48</v>
      </c>
      <c r="Q125" s="161" t="s">
        <v>574</v>
      </c>
      <c r="R125" s="160">
        <v>1</v>
      </c>
      <c r="S125" s="162" t="s">
        <v>575</v>
      </c>
      <c r="T125" s="160" t="s">
        <v>576</v>
      </c>
    </row>
    <row r="126" spans="1:20" ht="30" customHeight="1" x14ac:dyDescent="0.25">
      <c r="A126" s="70" t="e">
        <f>REPT(#REF!,#REF!)</f>
        <v>#REF!</v>
      </c>
      <c r="B126" s="71"/>
      <c r="C126" s="72"/>
      <c r="D126" s="72"/>
      <c r="E126" s="73" t="s">
        <v>21</v>
      </c>
      <c r="F126" s="74" t="e">
        <f>REPT(#REF!,#REF!)</f>
        <v>#REF!</v>
      </c>
      <c r="G126" s="104"/>
      <c r="H126" s="75"/>
      <c r="I126" s="105"/>
      <c r="J126" s="138"/>
      <c r="K126" s="138"/>
      <c r="L126" s="139"/>
      <c r="M126" s="76"/>
      <c r="N126" s="70"/>
      <c r="O126" s="140"/>
      <c r="P126" s="108"/>
      <c r="Q126" s="108"/>
      <c r="R126" s="108"/>
      <c r="S126" s="109"/>
      <c r="T126" s="104"/>
    </row>
    <row r="127" spans="1:20" ht="30" customHeight="1" x14ac:dyDescent="0.25">
      <c r="A127" s="24">
        <f>A125+1</f>
        <v>112</v>
      </c>
      <c r="B127" s="23" t="s">
        <v>283</v>
      </c>
      <c r="C127" s="24"/>
      <c r="D127" s="25"/>
      <c r="E127" s="26" t="s">
        <v>21</v>
      </c>
      <c r="F127" s="26" t="s">
        <v>577</v>
      </c>
      <c r="G127" s="87"/>
      <c r="H127" s="126" t="s">
        <v>27</v>
      </c>
      <c r="I127" s="88" t="s">
        <v>578</v>
      </c>
      <c r="J127" s="41" t="s">
        <v>33</v>
      </c>
      <c r="K127" s="41" t="s">
        <v>33</v>
      </c>
      <c r="L127" s="144" t="s">
        <v>579</v>
      </c>
      <c r="M127" s="69">
        <v>31339</v>
      </c>
      <c r="N127" s="134" t="s">
        <v>580</v>
      </c>
      <c r="O127" s="68" t="s">
        <v>47</v>
      </c>
      <c r="P127" s="68" t="s">
        <v>48</v>
      </c>
      <c r="Q127" s="135" t="s">
        <v>581</v>
      </c>
      <c r="R127" s="68">
        <v>1</v>
      </c>
      <c r="S127" s="135" t="s">
        <v>582</v>
      </c>
      <c r="T127" s="163" t="s">
        <v>583</v>
      </c>
    </row>
    <row r="128" spans="1:20" ht="30" customHeight="1" x14ac:dyDescent="0.25">
      <c r="A128" s="24">
        <f t="shared" ref="A128:A136" si="5">A127+1</f>
        <v>113</v>
      </c>
      <c r="B128" s="23" t="s">
        <v>283</v>
      </c>
      <c r="C128" s="24" t="s">
        <v>31</v>
      </c>
      <c r="D128" s="24"/>
      <c r="E128" s="30" t="s">
        <v>21</v>
      </c>
      <c r="F128" s="30" t="s">
        <v>577</v>
      </c>
      <c r="G128" s="33"/>
      <c r="H128" s="43" t="s">
        <v>41</v>
      </c>
      <c r="I128" s="90" t="s">
        <v>584</v>
      </c>
      <c r="J128" s="41" t="s">
        <v>43</v>
      </c>
      <c r="K128" s="41" t="s">
        <v>43</v>
      </c>
      <c r="L128" s="45" t="s">
        <v>585</v>
      </c>
      <c r="M128" s="33">
        <v>29471</v>
      </c>
      <c r="N128" s="40" t="s">
        <v>586</v>
      </c>
      <c r="O128" s="30" t="s">
        <v>587</v>
      </c>
      <c r="P128" s="30" t="s">
        <v>48</v>
      </c>
      <c r="Q128" s="35" t="s">
        <v>588</v>
      </c>
      <c r="R128" s="30">
        <v>1</v>
      </c>
      <c r="S128" s="35" t="s">
        <v>72</v>
      </c>
      <c r="T128" s="53" t="s">
        <v>589</v>
      </c>
    </row>
    <row r="129" spans="1:20" ht="30" customHeight="1" x14ac:dyDescent="0.25">
      <c r="A129" s="24">
        <f t="shared" si="5"/>
        <v>114</v>
      </c>
      <c r="B129" s="23" t="s">
        <v>283</v>
      </c>
      <c r="C129" s="24"/>
      <c r="D129" s="24"/>
      <c r="E129" s="30" t="s">
        <v>21</v>
      </c>
      <c r="F129" s="30" t="s">
        <v>577</v>
      </c>
      <c r="G129" s="33"/>
      <c r="H129" s="43" t="s">
        <v>41</v>
      </c>
      <c r="I129" s="90" t="s">
        <v>590</v>
      </c>
      <c r="J129" s="41" t="s">
        <v>43</v>
      </c>
      <c r="K129" s="117" t="s">
        <v>43</v>
      </c>
      <c r="L129" s="45" t="s">
        <v>591</v>
      </c>
      <c r="M129" s="33">
        <v>32213</v>
      </c>
      <c r="N129" s="40" t="s">
        <v>592</v>
      </c>
      <c r="O129" s="30" t="s">
        <v>47</v>
      </c>
      <c r="P129" s="30" t="s">
        <v>48</v>
      </c>
      <c r="Q129" s="35" t="s">
        <v>593</v>
      </c>
      <c r="R129" s="30">
        <v>1</v>
      </c>
      <c r="S129" s="35" t="s">
        <v>84</v>
      </c>
      <c r="T129" s="53" t="s">
        <v>594</v>
      </c>
    </row>
    <row r="130" spans="1:20" ht="30" customHeight="1" x14ac:dyDescent="0.25">
      <c r="A130" s="24">
        <f t="shared" si="5"/>
        <v>115</v>
      </c>
      <c r="B130" s="23" t="s">
        <v>283</v>
      </c>
      <c r="C130" s="24" t="s">
        <v>313</v>
      </c>
      <c r="D130" s="24"/>
      <c r="E130" s="30" t="s">
        <v>21</v>
      </c>
      <c r="F130" s="30" t="s">
        <v>577</v>
      </c>
      <c r="G130" s="33"/>
      <c r="H130" s="37" t="s">
        <v>27</v>
      </c>
      <c r="I130" s="90" t="s">
        <v>595</v>
      </c>
      <c r="J130" s="41" t="s">
        <v>43</v>
      </c>
      <c r="K130" s="117" t="s">
        <v>43</v>
      </c>
      <c r="L130" s="45" t="s">
        <v>596</v>
      </c>
      <c r="M130" s="33">
        <v>32144</v>
      </c>
      <c r="N130" s="40" t="s">
        <v>597</v>
      </c>
      <c r="O130" s="30" t="s">
        <v>47</v>
      </c>
      <c r="P130" s="30" t="s">
        <v>48</v>
      </c>
      <c r="Q130" s="35" t="s">
        <v>598</v>
      </c>
      <c r="R130" s="30"/>
      <c r="S130" s="35" t="s">
        <v>599</v>
      </c>
      <c r="T130" s="53" t="s">
        <v>600</v>
      </c>
    </row>
    <row r="131" spans="1:20" ht="30" customHeight="1" x14ac:dyDescent="0.25">
      <c r="A131" s="24">
        <f t="shared" si="5"/>
        <v>116</v>
      </c>
      <c r="B131" s="23" t="s">
        <v>283</v>
      </c>
      <c r="C131" s="24"/>
      <c r="D131" s="24"/>
      <c r="E131" s="30" t="s">
        <v>21</v>
      </c>
      <c r="F131" s="30" t="s">
        <v>577</v>
      </c>
      <c r="G131" s="33"/>
      <c r="H131" s="43" t="s">
        <v>41</v>
      </c>
      <c r="I131" s="91" t="s">
        <v>601</v>
      </c>
      <c r="J131" s="41" t="s">
        <v>68</v>
      </c>
      <c r="K131" s="41" t="s">
        <v>68</v>
      </c>
      <c r="L131" s="164" t="s">
        <v>602</v>
      </c>
      <c r="M131" s="87">
        <v>33019</v>
      </c>
      <c r="N131" s="130" t="s">
        <v>603</v>
      </c>
      <c r="O131" s="26" t="s">
        <v>47</v>
      </c>
      <c r="P131" s="26" t="s">
        <v>48</v>
      </c>
      <c r="Q131" s="131" t="s">
        <v>604</v>
      </c>
      <c r="R131" s="26">
        <v>1</v>
      </c>
      <c r="S131" s="131" t="s">
        <v>605</v>
      </c>
      <c r="T131" s="132" t="s">
        <v>606</v>
      </c>
    </row>
    <row r="132" spans="1:20" ht="30" customHeight="1" x14ac:dyDescent="0.25">
      <c r="A132" s="24">
        <f t="shared" si="5"/>
        <v>117</v>
      </c>
      <c r="B132" s="23" t="s">
        <v>283</v>
      </c>
      <c r="C132" s="24"/>
      <c r="D132" s="24"/>
      <c r="E132" s="30" t="s">
        <v>21</v>
      </c>
      <c r="F132" s="30" t="s">
        <v>577</v>
      </c>
      <c r="G132" s="33"/>
      <c r="H132" s="43" t="s">
        <v>41</v>
      </c>
      <c r="I132" s="91" t="s">
        <v>607</v>
      </c>
      <c r="J132" s="117" t="s">
        <v>68</v>
      </c>
      <c r="K132" s="117" t="s">
        <v>68</v>
      </c>
      <c r="L132" s="144" t="s">
        <v>608</v>
      </c>
      <c r="M132" s="69">
        <v>33288</v>
      </c>
      <c r="N132" s="134" t="s">
        <v>357</v>
      </c>
      <c r="O132" s="68" t="s">
        <v>47</v>
      </c>
      <c r="P132" s="68" t="s">
        <v>48</v>
      </c>
      <c r="Q132" s="135" t="s">
        <v>609</v>
      </c>
      <c r="R132" s="68"/>
      <c r="S132" s="135" t="s">
        <v>610</v>
      </c>
      <c r="T132" s="136" t="s">
        <v>611</v>
      </c>
    </row>
    <row r="133" spans="1:20" ht="30" customHeight="1" x14ac:dyDescent="0.25">
      <c r="A133" s="24">
        <f t="shared" si="5"/>
        <v>118</v>
      </c>
      <c r="B133" s="23" t="s">
        <v>283</v>
      </c>
      <c r="C133" s="24"/>
      <c r="D133" s="24"/>
      <c r="E133" s="30" t="s">
        <v>21</v>
      </c>
      <c r="F133" s="30" t="s">
        <v>577</v>
      </c>
      <c r="G133" s="33"/>
      <c r="H133" s="43" t="s">
        <v>41</v>
      </c>
      <c r="I133" s="91" t="s">
        <v>612</v>
      </c>
      <c r="J133" s="41" t="s">
        <v>68</v>
      </c>
      <c r="K133" s="41" t="s">
        <v>68</v>
      </c>
      <c r="L133" s="45" t="s">
        <v>613</v>
      </c>
      <c r="M133" s="33">
        <v>33275</v>
      </c>
      <c r="N133" s="40" t="s">
        <v>614</v>
      </c>
      <c r="O133" s="30" t="s">
        <v>47</v>
      </c>
      <c r="P133" s="30" t="s">
        <v>37</v>
      </c>
      <c r="Q133" s="35" t="s">
        <v>615</v>
      </c>
      <c r="R133" s="30"/>
      <c r="S133" s="35" t="s">
        <v>616</v>
      </c>
      <c r="T133" s="53" t="s">
        <v>617</v>
      </c>
    </row>
    <row r="134" spans="1:20" ht="30" customHeight="1" x14ac:dyDescent="0.25">
      <c r="A134" s="24">
        <f t="shared" si="5"/>
        <v>119</v>
      </c>
      <c r="B134" s="23" t="s">
        <v>283</v>
      </c>
      <c r="C134" s="24"/>
      <c r="D134" s="24"/>
      <c r="E134" s="30" t="s">
        <v>21</v>
      </c>
      <c r="F134" s="30" t="s">
        <v>577</v>
      </c>
      <c r="G134" s="33"/>
      <c r="H134" s="43" t="s">
        <v>41</v>
      </c>
      <c r="I134" s="91" t="s">
        <v>618</v>
      </c>
      <c r="J134" s="41" t="s">
        <v>68</v>
      </c>
      <c r="K134" s="41" t="s">
        <v>44</v>
      </c>
      <c r="L134" s="56" t="s">
        <v>619</v>
      </c>
      <c r="M134" s="33">
        <v>33986</v>
      </c>
      <c r="N134" s="40" t="s">
        <v>620</v>
      </c>
      <c r="O134" s="30" t="s">
        <v>47</v>
      </c>
      <c r="P134" s="30" t="s">
        <v>48</v>
      </c>
      <c r="Q134" s="35" t="s">
        <v>621</v>
      </c>
      <c r="R134" s="30"/>
      <c r="S134" s="35" t="s">
        <v>622</v>
      </c>
      <c r="T134" s="53" t="s">
        <v>623</v>
      </c>
    </row>
    <row r="135" spans="1:20" ht="30" customHeight="1" x14ac:dyDescent="0.25">
      <c r="A135" s="24">
        <f t="shared" si="5"/>
        <v>120</v>
      </c>
      <c r="B135" s="23" t="s">
        <v>283</v>
      </c>
      <c r="C135" s="24" t="s">
        <v>31</v>
      </c>
      <c r="D135" s="24" t="s">
        <v>185</v>
      </c>
      <c r="E135" s="30" t="s">
        <v>21</v>
      </c>
      <c r="F135" s="30" t="s">
        <v>577</v>
      </c>
      <c r="G135" s="33"/>
      <c r="H135" s="43" t="s">
        <v>41</v>
      </c>
      <c r="I135" s="96" t="s">
        <v>624</v>
      </c>
      <c r="J135" s="41" t="s">
        <v>44</v>
      </c>
      <c r="K135" s="41" t="s">
        <v>100</v>
      </c>
      <c r="L135" s="45" t="s">
        <v>625</v>
      </c>
      <c r="M135" s="33">
        <v>35315</v>
      </c>
      <c r="N135" s="40" t="s">
        <v>626</v>
      </c>
      <c r="O135" s="30" t="s">
        <v>627</v>
      </c>
      <c r="P135" s="30" t="s">
        <v>37</v>
      </c>
      <c r="Q135" s="35" t="s">
        <v>628</v>
      </c>
      <c r="R135" s="30"/>
      <c r="S135" s="35" t="s">
        <v>629</v>
      </c>
      <c r="T135" s="53" t="s">
        <v>630</v>
      </c>
    </row>
    <row r="136" spans="1:20" ht="30" customHeight="1" x14ac:dyDescent="0.25">
      <c r="A136" s="24">
        <f t="shared" si="5"/>
        <v>121</v>
      </c>
      <c r="B136" s="23" t="s">
        <v>93</v>
      </c>
      <c r="C136" s="24"/>
      <c r="D136" s="67" t="s">
        <v>185</v>
      </c>
      <c r="E136" s="68" t="s">
        <v>21</v>
      </c>
      <c r="F136" s="68" t="s">
        <v>577</v>
      </c>
      <c r="G136" s="69"/>
      <c r="H136" s="37" t="s">
        <v>27</v>
      </c>
      <c r="I136" s="92" t="s">
        <v>631</v>
      </c>
      <c r="J136" s="128" t="s">
        <v>44</v>
      </c>
      <c r="K136" s="128" t="s">
        <v>44</v>
      </c>
      <c r="L136" s="164" t="s">
        <v>632</v>
      </c>
      <c r="M136" s="87">
        <v>31982</v>
      </c>
      <c r="N136" s="130" t="s">
        <v>633</v>
      </c>
      <c r="O136" s="26" t="s">
        <v>47</v>
      </c>
      <c r="P136" s="26" t="s">
        <v>527</v>
      </c>
      <c r="Q136" s="131" t="s">
        <v>634</v>
      </c>
      <c r="R136" s="26">
        <v>1</v>
      </c>
      <c r="S136" s="131" t="s">
        <v>218</v>
      </c>
      <c r="T136" s="132" t="s">
        <v>635</v>
      </c>
    </row>
    <row r="137" spans="1:20" ht="30" customHeight="1" x14ac:dyDescent="0.25">
      <c r="A137" s="70" t="e">
        <f>REPT(#REF!,#REF!)</f>
        <v>#REF!</v>
      </c>
      <c r="B137" s="71"/>
      <c r="C137" s="72"/>
      <c r="D137" s="72"/>
      <c r="E137" s="73" t="s">
        <v>21</v>
      </c>
      <c r="F137" s="74" t="e">
        <f>REPT(#REF!,#REF!)</f>
        <v>#REF!</v>
      </c>
      <c r="G137" s="75"/>
      <c r="H137" s="75"/>
      <c r="I137" s="76"/>
      <c r="J137" s="138"/>
      <c r="K137" s="138"/>
      <c r="L137" s="139"/>
      <c r="M137" s="76"/>
      <c r="N137" s="70"/>
      <c r="O137" s="140"/>
      <c r="P137" s="108"/>
      <c r="Q137" s="108"/>
      <c r="R137" s="108"/>
      <c r="S137" s="109"/>
      <c r="T137" s="104"/>
    </row>
    <row r="138" spans="1:20" ht="30" customHeight="1" x14ac:dyDescent="0.25">
      <c r="A138" s="24">
        <f>A136+1</f>
        <v>122</v>
      </c>
      <c r="B138" s="23" t="s">
        <v>636</v>
      </c>
      <c r="C138" s="24"/>
      <c r="D138" s="152"/>
      <c r="E138" s="153" t="s">
        <v>21</v>
      </c>
      <c r="F138" s="153" t="s">
        <v>637</v>
      </c>
      <c r="G138" s="154"/>
      <c r="H138" s="116" t="s">
        <v>41</v>
      </c>
      <c r="I138" s="165" t="s">
        <v>638</v>
      </c>
      <c r="J138" s="41" t="s">
        <v>68</v>
      </c>
      <c r="K138" s="41" t="s">
        <v>43</v>
      </c>
      <c r="L138" s="45" t="s">
        <v>639</v>
      </c>
      <c r="M138" s="33">
        <v>29994</v>
      </c>
      <c r="N138" s="40" t="s">
        <v>640</v>
      </c>
      <c r="O138" s="30" t="s">
        <v>641</v>
      </c>
      <c r="P138" s="30" t="s">
        <v>48</v>
      </c>
      <c r="Q138" s="35" t="s">
        <v>642</v>
      </c>
      <c r="R138" s="30">
        <v>1</v>
      </c>
      <c r="S138" s="35" t="s">
        <v>218</v>
      </c>
      <c r="T138" s="53" t="s">
        <v>643</v>
      </c>
    </row>
    <row r="139" spans="1:20" ht="33" customHeight="1" x14ac:dyDescent="0.25">
      <c r="A139" s="70" t="e">
        <f>REPT(#REF!,#REF!)</f>
        <v>#REF!</v>
      </c>
      <c r="B139" s="71"/>
      <c r="C139" s="72"/>
      <c r="D139" s="72"/>
      <c r="E139" s="73" t="s">
        <v>21</v>
      </c>
      <c r="F139" s="74" t="e">
        <f>REPT(#REF!,#REF!)</f>
        <v>#REF!</v>
      </c>
      <c r="G139" s="104"/>
      <c r="H139" s="104"/>
      <c r="I139" s="105"/>
      <c r="J139" s="138"/>
      <c r="K139" s="138"/>
      <c r="L139" s="139"/>
      <c r="M139" s="76"/>
      <c r="N139" s="70"/>
      <c r="O139" s="166"/>
      <c r="P139" s="108"/>
      <c r="Q139" s="108"/>
      <c r="R139" s="108"/>
      <c r="S139" s="108"/>
      <c r="T139" s="104"/>
    </row>
    <row r="140" spans="1:20" ht="30" customHeight="1" x14ac:dyDescent="0.25">
      <c r="A140" s="24">
        <f>A138+1</f>
        <v>123</v>
      </c>
      <c r="B140" s="125" t="s">
        <v>636</v>
      </c>
      <c r="C140" s="25"/>
      <c r="D140" s="25"/>
      <c r="E140" s="26" t="s">
        <v>21</v>
      </c>
      <c r="F140" s="26" t="s">
        <v>644</v>
      </c>
      <c r="G140" s="87"/>
      <c r="H140" s="110" t="s">
        <v>41</v>
      </c>
      <c r="I140" s="111" t="s">
        <v>645</v>
      </c>
      <c r="J140" s="128" t="s">
        <v>68</v>
      </c>
      <c r="K140" s="128" t="s">
        <v>43</v>
      </c>
      <c r="L140" s="164" t="s">
        <v>646</v>
      </c>
      <c r="M140" s="87">
        <v>27009</v>
      </c>
      <c r="N140" s="130" t="s">
        <v>647</v>
      </c>
      <c r="O140" s="26" t="s">
        <v>47</v>
      </c>
      <c r="P140" s="26" t="s">
        <v>48</v>
      </c>
      <c r="Q140" s="131" t="s">
        <v>648</v>
      </c>
      <c r="R140" s="26">
        <v>3</v>
      </c>
      <c r="S140" s="131" t="s">
        <v>649</v>
      </c>
      <c r="T140" s="26" t="s">
        <v>650</v>
      </c>
    </row>
    <row r="141" spans="1:20" ht="30" customHeight="1" x14ac:dyDescent="0.25">
      <c r="A141" s="24">
        <f>A140+1</f>
        <v>124</v>
      </c>
      <c r="B141" s="23" t="s">
        <v>636</v>
      </c>
      <c r="C141" s="24"/>
      <c r="D141" s="24" t="s">
        <v>185</v>
      </c>
      <c r="E141" s="30" t="s">
        <v>21</v>
      </c>
      <c r="F141" s="30" t="s">
        <v>644</v>
      </c>
      <c r="G141" s="33"/>
      <c r="H141" s="43" t="s">
        <v>41</v>
      </c>
      <c r="I141" s="96" t="s">
        <v>651</v>
      </c>
      <c r="J141" s="41" t="s">
        <v>44</v>
      </c>
      <c r="K141" s="41" t="s">
        <v>44</v>
      </c>
      <c r="L141" s="45" t="s">
        <v>652</v>
      </c>
      <c r="M141" s="33">
        <v>33528</v>
      </c>
      <c r="N141" s="40" t="s">
        <v>451</v>
      </c>
      <c r="O141" s="30" t="s">
        <v>47</v>
      </c>
      <c r="P141" s="30" t="s">
        <v>48</v>
      </c>
      <c r="Q141" s="35" t="s">
        <v>653</v>
      </c>
      <c r="R141" s="30">
        <v>2</v>
      </c>
      <c r="S141" s="35" t="s">
        <v>654</v>
      </c>
      <c r="T141" s="167" t="s">
        <v>655</v>
      </c>
    </row>
    <row r="142" spans="1:20" ht="30" customHeight="1" x14ac:dyDescent="0.25">
      <c r="A142" s="24">
        <f>A141+1</f>
        <v>125</v>
      </c>
      <c r="B142" s="23" t="s">
        <v>636</v>
      </c>
      <c r="C142" s="24"/>
      <c r="D142" s="24" t="s">
        <v>185</v>
      </c>
      <c r="E142" s="30" t="s">
        <v>21</v>
      </c>
      <c r="F142" s="30" t="s">
        <v>644</v>
      </c>
      <c r="G142" s="33"/>
      <c r="H142" s="43" t="s">
        <v>41</v>
      </c>
      <c r="I142" s="92" t="s">
        <v>656</v>
      </c>
      <c r="J142" s="30" t="s">
        <v>44</v>
      </c>
      <c r="K142" s="117" t="s">
        <v>100</v>
      </c>
      <c r="L142" s="168" t="s">
        <v>657</v>
      </c>
      <c r="M142" s="69">
        <v>35542</v>
      </c>
      <c r="N142" s="134" t="s">
        <v>658</v>
      </c>
      <c r="O142" s="68" t="s">
        <v>47</v>
      </c>
      <c r="P142" s="68" t="s">
        <v>48</v>
      </c>
      <c r="Q142" s="135" t="s">
        <v>659</v>
      </c>
      <c r="R142" s="68"/>
      <c r="S142" s="135" t="s">
        <v>427</v>
      </c>
      <c r="T142" s="68" t="s">
        <v>660</v>
      </c>
    </row>
    <row r="143" spans="1:20" ht="30" customHeight="1" x14ac:dyDescent="0.25">
      <c r="A143" s="24">
        <f>A142+1</f>
        <v>126</v>
      </c>
      <c r="B143" s="23" t="s">
        <v>636</v>
      </c>
      <c r="C143" s="24"/>
      <c r="D143" s="24" t="s">
        <v>185</v>
      </c>
      <c r="E143" s="30" t="s">
        <v>21</v>
      </c>
      <c r="F143" s="30" t="s">
        <v>644</v>
      </c>
      <c r="G143" s="33"/>
      <c r="H143" s="43" t="s">
        <v>41</v>
      </c>
      <c r="I143" s="92" t="s">
        <v>661</v>
      </c>
      <c r="J143" s="30" t="s">
        <v>44</v>
      </c>
      <c r="K143" s="41" t="s">
        <v>100</v>
      </c>
      <c r="L143" s="150" t="s">
        <v>662</v>
      </c>
      <c r="M143" s="33">
        <v>35912</v>
      </c>
      <c r="N143" s="40" t="s">
        <v>663</v>
      </c>
      <c r="O143" s="30" t="s">
        <v>47</v>
      </c>
      <c r="P143" s="30" t="s">
        <v>37</v>
      </c>
      <c r="Q143" s="35" t="s">
        <v>664</v>
      </c>
      <c r="R143" s="30"/>
      <c r="S143" s="35" t="s">
        <v>665</v>
      </c>
      <c r="T143" s="169" t="s">
        <v>666</v>
      </c>
    </row>
    <row r="144" spans="1:20" ht="30" customHeight="1" x14ac:dyDescent="0.25">
      <c r="A144" s="24">
        <f>A143+1</f>
        <v>127</v>
      </c>
      <c r="B144" s="114" t="s">
        <v>636</v>
      </c>
      <c r="C144" s="67"/>
      <c r="D144" s="67" t="s">
        <v>185</v>
      </c>
      <c r="E144" s="68" t="s">
        <v>21</v>
      </c>
      <c r="F144" s="68" t="s">
        <v>644</v>
      </c>
      <c r="G144" s="69"/>
      <c r="H144" s="116" t="s">
        <v>41</v>
      </c>
      <c r="I144" s="102" t="s">
        <v>667</v>
      </c>
      <c r="J144" s="68" t="s">
        <v>44</v>
      </c>
      <c r="K144" s="156" t="s">
        <v>44</v>
      </c>
      <c r="L144" s="170" t="s">
        <v>668</v>
      </c>
      <c r="M144" s="154">
        <v>33626</v>
      </c>
      <c r="N144" s="171" t="s">
        <v>451</v>
      </c>
      <c r="O144" s="153" t="s">
        <v>47</v>
      </c>
      <c r="P144" s="153" t="s">
        <v>37</v>
      </c>
      <c r="Q144" s="172" t="s">
        <v>669</v>
      </c>
      <c r="R144" s="153"/>
      <c r="S144" s="172" t="s">
        <v>670</v>
      </c>
      <c r="T144" s="153" t="s">
        <v>671</v>
      </c>
    </row>
    <row r="145" spans="1:20" ht="30" customHeight="1" x14ac:dyDescent="0.25">
      <c r="A145" s="9" t="e">
        <f>REPT(#REF!,#REF!)</f>
        <v>#REF!</v>
      </c>
      <c r="B145" s="10"/>
      <c r="C145" s="173"/>
      <c r="D145" s="173"/>
      <c r="E145" s="174" t="s">
        <v>672</v>
      </c>
      <c r="F145" s="175" t="e">
        <f>REPT(#REF!,#REF!)</f>
        <v>#REF!</v>
      </c>
      <c r="G145" s="176"/>
      <c r="H145" s="177"/>
      <c r="I145" s="18"/>
      <c r="J145" s="16"/>
      <c r="K145" s="16"/>
      <c r="L145" s="17"/>
      <c r="M145" s="18"/>
      <c r="N145" s="9"/>
      <c r="O145" s="15"/>
      <c r="P145" s="20"/>
      <c r="Q145" s="20"/>
      <c r="R145" s="20"/>
      <c r="S145" s="21"/>
      <c r="T145" s="19"/>
    </row>
    <row r="146" spans="1:20" ht="30" customHeight="1" x14ac:dyDescent="0.25">
      <c r="A146" s="178" t="e">
        <f>REPT(#REF!,#REF!)</f>
        <v>#REF!</v>
      </c>
      <c r="B146" s="179"/>
      <c r="C146" s="72"/>
      <c r="D146" s="103"/>
      <c r="E146" s="180" t="s">
        <v>672</v>
      </c>
      <c r="F146" s="74" t="e">
        <f>REPT(#REF!,#REF!)</f>
        <v>#REF!</v>
      </c>
      <c r="G146" s="104"/>
      <c r="H146" s="75"/>
      <c r="I146" s="181"/>
      <c r="J146" s="77"/>
      <c r="K146" s="77"/>
      <c r="L146" s="182"/>
      <c r="M146" s="183"/>
      <c r="N146" s="178"/>
      <c r="O146" s="184"/>
      <c r="P146" s="185"/>
      <c r="Q146" s="185"/>
      <c r="R146" s="185"/>
      <c r="S146" s="186"/>
      <c r="T146" s="187"/>
    </row>
    <row r="147" spans="1:20" ht="30" customHeight="1" x14ac:dyDescent="0.25">
      <c r="A147" s="24">
        <f>A144+1</f>
        <v>128</v>
      </c>
      <c r="B147" s="125"/>
      <c r="C147" s="25"/>
      <c r="D147" s="25"/>
      <c r="E147" s="26" t="s">
        <v>672</v>
      </c>
      <c r="F147" s="26" t="s">
        <v>21</v>
      </c>
      <c r="G147" s="87"/>
      <c r="H147" s="25"/>
      <c r="I147" s="188" t="s">
        <v>673</v>
      </c>
      <c r="J147" s="25" t="s">
        <v>25</v>
      </c>
      <c r="K147" s="128" t="s">
        <v>25</v>
      </c>
      <c r="L147" s="100" t="s">
        <v>674</v>
      </c>
      <c r="M147" s="87">
        <v>29406</v>
      </c>
      <c r="N147" s="130" t="s">
        <v>675</v>
      </c>
      <c r="O147" s="26" t="s">
        <v>47</v>
      </c>
      <c r="P147" s="26" t="s">
        <v>48</v>
      </c>
      <c r="Q147" s="131" t="s">
        <v>676</v>
      </c>
      <c r="R147" s="26">
        <v>3</v>
      </c>
      <c r="S147" s="131" t="s">
        <v>677</v>
      </c>
      <c r="T147" s="189" t="s">
        <v>678</v>
      </c>
    </row>
    <row r="148" spans="1:20" ht="30" customHeight="1" x14ac:dyDescent="0.25">
      <c r="A148" s="24">
        <f t="shared" ref="A148:A177" si="6">A147+1</f>
        <v>129</v>
      </c>
      <c r="B148" s="23"/>
      <c r="C148" s="24"/>
      <c r="D148" s="24"/>
      <c r="E148" s="30" t="s">
        <v>672</v>
      </c>
      <c r="F148" s="30" t="s">
        <v>21</v>
      </c>
      <c r="G148" s="33"/>
      <c r="H148" s="24"/>
      <c r="I148" s="44" t="s">
        <v>679</v>
      </c>
      <c r="J148" s="24" t="s">
        <v>33</v>
      </c>
      <c r="K148" s="24" t="s">
        <v>33</v>
      </c>
      <c r="L148" s="190" t="s">
        <v>680</v>
      </c>
      <c r="M148" s="55"/>
      <c r="N148" s="40"/>
      <c r="O148" s="24"/>
      <c r="P148" s="30"/>
      <c r="Q148" s="35"/>
      <c r="R148" s="30"/>
      <c r="S148" s="35"/>
      <c r="T148" s="36"/>
    </row>
    <row r="149" spans="1:20" ht="30" customHeight="1" x14ac:dyDescent="0.25">
      <c r="A149" s="24">
        <f t="shared" si="6"/>
        <v>130</v>
      </c>
      <c r="B149" s="23"/>
      <c r="C149" s="24"/>
      <c r="D149" s="24"/>
      <c r="E149" s="30" t="s">
        <v>672</v>
      </c>
      <c r="F149" s="30" t="s">
        <v>21</v>
      </c>
      <c r="G149" s="33"/>
      <c r="H149" s="24"/>
      <c r="I149" s="44" t="s">
        <v>681</v>
      </c>
      <c r="J149" s="41" t="s">
        <v>33</v>
      </c>
      <c r="K149" s="38">
        <v>19</v>
      </c>
      <c r="L149" s="141" t="s">
        <v>29</v>
      </c>
      <c r="M149" s="55"/>
      <c r="N149" s="40"/>
      <c r="O149" s="24"/>
      <c r="P149" s="30"/>
      <c r="Q149" s="35"/>
      <c r="R149" s="30"/>
      <c r="S149" s="35"/>
      <c r="T149" s="36"/>
    </row>
    <row r="150" spans="1:20" ht="30" customHeight="1" x14ac:dyDescent="0.25">
      <c r="A150" s="24">
        <f t="shared" si="6"/>
        <v>131</v>
      </c>
      <c r="B150" s="23"/>
      <c r="C150" s="24"/>
      <c r="D150" s="24"/>
      <c r="E150" s="30" t="s">
        <v>672</v>
      </c>
      <c r="F150" s="30" t="s">
        <v>21</v>
      </c>
      <c r="G150" s="33"/>
      <c r="H150" s="24"/>
      <c r="I150" s="44" t="s">
        <v>42</v>
      </c>
      <c r="J150" s="30" t="s">
        <v>68</v>
      </c>
      <c r="K150" s="156" t="s">
        <v>100</v>
      </c>
      <c r="L150" s="191" t="s">
        <v>682</v>
      </c>
      <c r="M150" s="55">
        <v>35065</v>
      </c>
      <c r="N150" s="40" t="s">
        <v>683</v>
      </c>
      <c r="O150" s="24" t="s">
        <v>47</v>
      </c>
      <c r="P150" s="30" t="s">
        <v>37</v>
      </c>
      <c r="Q150" s="35" t="s">
        <v>684</v>
      </c>
      <c r="R150" s="30"/>
      <c r="S150" s="35" t="s">
        <v>685</v>
      </c>
      <c r="T150" s="47" t="s">
        <v>686</v>
      </c>
    </row>
    <row r="151" spans="1:20" ht="30" customHeight="1" x14ac:dyDescent="0.25">
      <c r="A151" s="24">
        <f t="shared" si="6"/>
        <v>132</v>
      </c>
      <c r="B151" s="23"/>
      <c r="C151" s="24"/>
      <c r="D151" s="24"/>
      <c r="E151" s="30" t="s">
        <v>672</v>
      </c>
      <c r="F151" s="30" t="s">
        <v>21</v>
      </c>
      <c r="G151" s="33"/>
      <c r="H151" s="24"/>
      <c r="I151" s="44" t="s">
        <v>687</v>
      </c>
      <c r="J151" s="30" t="s">
        <v>68</v>
      </c>
      <c r="K151" s="38">
        <v>20</v>
      </c>
      <c r="L151" s="141" t="s">
        <v>29</v>
      </c>
      <c r="M151" s="55"/>
      <c r="N151" s="40"/>
      <c r="O151" s="24"/>
      <c r="P151" s="30"/>
      <c r="Q151" s="35"/>
      <c r="R151" s="30"/>
      <c r="S151" s="35"/>
      <c r="T151" s="36"/>
    </row>
    <row r="152" spans="1:20" ht="30" customHeight="1" x14ac:dyDescent="0.25">
      <c r="A152" s="24">
        <f t="shared" si="6"/>
        <v>133</v>
      </c>
      <c r="B152" s="23"/>
      <c r="C152" s="24"/>
      <c r="D152" s="24"/>
      <c r="E152" s="30" t="s">
        <v>672</v>
      </c>
      <c r="F152" s="30" t="s">
        <v>21</v>
      </c>
      <c r="G152" s="33"/>
      <c r="H152" s="24"/>
      <c r="I152" s="44" t="s">
        <v>688</v>
      </c>
      <c r="J152" s="41" t="s">
        <v>33</v>
      </c>
      <c r="K152" s="24" t="s">
        <v>43</v>
      </c>
      <c r="L152" s="190" t="s">
        <v>689</v>
      </c>
      <c r="M152" s="55"/>
      <c r="N152" s="40"/>
      <c r="O152" s="24"/>
      <c r="P152" s="30"/>
      <c r="Q152" s="35"/>
      <c r="R152" s="30"/>
      <c r="S152" s="35"/>
      <c r="T152" s="36"/>
    </row>
    <row r="153" spans="1:20" ht="30" customHeight="1" x14ac:dyDescent="0.25">
      <c r="A153" s="24">
        <f t="shared" si="6"/>
        <v>134</v>
      </c>
      <c r="B153" s="23"/>
      <c r="C153" s="24"/>
      <c r="D153" s="24"/>
      <c r="E153" s="30" t="s">
        <v>672</v>
      </c>
      <c r="F153" s="30" t="s">
        <v>21</v>
      </c>
      <c r="G153" s="33"/>
      <c r="H153" s="24"/>
      <c r="I153" s="44" t="s">
        <v>690</v>
      </c>
      <c r="J153" s="24" t="s">
        <v>43</v>
      </c>
      <c r="K153" s="38">
        <v>21</v>
      </c>
      <c r="L153" s="141" t="s">
        <v>29</v>
      </c>
      <c r="M153" s="55"/>
      <c r="N153" s="40"/>
      <c r="O153" s="24"/>
      <c r="P153" s="30"/>
      <c r="Q153" s="35"/>
      <c r="R153" s="30"/>
      <c r="S153" s="35"/>
      <c r="T153" s="36"/>
    </row>
    <row r="154" spans="1:20" ht="30" customHeight="1" x14ac:dyDescent="0.25">
      <c r="A154" s="24">
        <f t="shared" si="6"/>
        <v>135</v>
      </c>
      <c r="B154" s="23"/>
      <c r="C154" s="24"/>
      <c r="D154" s="24"/>
      <c r="E154" s="30" t="s">
        <v>672</v>
      </c>
      <c r="F154" s="30" t="s">
        <v>21</v>
      </c>
      <c r="G154" s="33"/>
      <c r="H154" s="24"/>
      <c r="I154" s="44" t="s">
        <v>691</v>
      </c>
      <c r="J154" s="24" t="s">
        <v>43</v>
      </c>
      <c r="K154" s="41" t="s">
        <v>68</v>
      </c>
      <c r="L154" s="89" t="s">
        <v>692</v>
      </c>
      <c r="M154" s="33">
        <v>33133</v>
      </c>
      <c r="N154" s="40" t="s">
        <v>693</v>
      </c>
      <c r="O154" s="30" t="s">
        <v>47</v>
      </c>
      <c r="P154" s="30" t="s">
        <v>48</v>
      </c>
      <c r="Q154" s="35" t="s">
        <v>694</v>
      </c>
      <c r="R154" s="30"/>
      <c r="S154" s="35" t="s">
        <v>695</v>
      </c>
      <c r="T154" s="53" t="s">
        <v>696</v>
      </c>
    </row>
    <row r="155" spans="1:20" ht="30" customHeight="1" x14ac:dyDescent="0.25">
      <c r="A155" s="24">
        <f t="shared" si="6"/>
        <v>136</v>
      </c>
      <c r="B155" s="23"/>
      <c r="C155" s="24"/>
      <c r="D155" s="24"/>
      <c r="E155" s="30" t="s">
        <v>672</v>
      </c>
      <c r="F155" s="30" t="s">
        <v>21</v>
      </c>
      <c r="G155" s="33"/>
      <c r="H155" s="24"/>
      <c r="I155" s="44" t="s">
        <v>697</v>
      </c>
      <c r="J155" s="24" t="s">
        <v>43</v>
      </c>
      <c r="K155" s="41" t="s">
        <v>68</v>
      </c>
      <c r="L155" s="190" t="s">
        <v>698</v>
      </c>
      <c r="M155" s="55"/>
      <c r="N155" s="40"/>
      <c r="O155" s="24"/>
      <c r="P155" s="30"/>
      <c r="Q155" s="35"/>
      <c r="R155" s="30"/>
      <c r="S155" s="35"/>
      <c r="T155" s="36"/>
    </row>
    <row r="156" spans="1:20" ht="30" customHeight="1" x14ac:dyDescent="0.25">
      <c r="A156" s="24">
        <f t="shared" si="6"/>
        <v>137</v>
      </c>
      <c r="B156" s="23"/>
      <c r="C156" s="24"/>
      <c r="D156" s="24"/>
      <c r="E156" s="30" t="s">
        <v>672</v>
      </c>
      <c r="F156" s="30" t="s">
        <v>21</v>
      </c>
      <c r="G156" s="33"/>
      <c r="H156" s="24"/>
      <c r="I156" s="44" t="s">
        <v>699</v>
      </c>
      <c r="J156" s="41" t="s">
        <v>44</v>
      </c>
      <c r="K156" s="30" t="s">
        <v>44</v>
      </c>
      <c r="L156" s="95" t="s">
        <v>700</v>
      </c>
      <c r="M156" s="33">
        <v>34102</v>
      </c>
      <c r="N156" s="40" t="s">
        <v>701</v>
      </c>
      <c r="O156" s="30" t="s">
        <v>47</v>
      </c>
      <c r="P156" s="30" t="s">
        <v>48</v>
      </c>
      <c r="Q156" s="35" t="s">
        <v>702</v>
      </c>
      <c r="R156" s="30">
        <v>1</v>
      </c>
      <c r="S156" s="35" t="s">
        <v>84</v>
      </c>
      <c r="T156" s="53" t="s">
        <v>703</v>
      </c>
    </row>
    <row r="157" spans="1:20" ht="30" customHeight="1" x14ac:dyDescent="0.25">
      <c r="A157" s="24">
        <f t="shared" si="6"/>
        <v>138</v>
      </c>
      <c r="B157" s="23"/>
      <c r="C157" s="24"/>
      <c r="D157" s="24"/>
      <c r="E157" s="30" t="s">
        <v>672</v>
      </c>
      <c r="F157" s="30" t="s">
        <v>21</v>
      </c>
      <c r="G157" s="33"/>
      <c r="H157" s="24"/>
      <c r="I157" s="44" t="s">
        <v>704</v>
      </c>
      <c r="J157" s="24" t="s">
        <v>43</v>
      </c>
      <c r="K157" s="41" t="s">
        <v>68</v>
      </c>
      <c r="L157" s="190" t="s">
        <v>705</v>
      </c>
      <c r="M157" s="55"/>
      <c r="N157" s="40"/>
      <c r="O157" s="24"/>
      <c r="P157" s="30"/>
      <c r="Q157" s="35"/>
      <c r="R157" s="30"/>
      <c r="S157" s="35"/>
      <c r="T157" s="36"/>
    </row>
    <row r="158" spans="1:20" ht="30" customHeight="1" x14ac:dyDescent="0.25">
      <c r="A158" s="24">
        <f t="shared" si="6"/>
        <v>139</v>
      </c>
      <c r="B158" s="23"/>
      <c r="C158" s="24"/>
      <c r="D158" s="24"/>
      <c r="E158" s="30" t="s">
        <v>672</v>
      </c>
      <c r="F158" s="30" t="s">
        <v>21</v>
      </c>
      <c r="G158" s="33"/>
      <c r="H158" s="24"/>
      <c r="I158" s="44" t="s">
        <v>706</v>
      </c>
      <c r="J158" s="41" t="s">
        <v>44</v>
      </c>
      <c r="K158" s="41" t="s">
        <v>707</v>
      </c>
      <c r="L158" s="94" t="s">
        <v>708</v>
      </c>
      <c r="M158" s="33">
        <v>35560</v>
      </c>
      <c r="N158" s="40" t="s">
        <v>709</v>
      </c>
      <c r="O158" s="30" t="s">
        <v>47</v>
      </c>
      <c r="P158" s="30" t="s">
        <v>527</v>
      </c>
      <c r="Q158" s="35" t="s">
        <v>710</v>
      </c>
      <c r="R158" s="46"/>
      <c r="S158" s="35" t="s">
        <v>711</v>
      </c>
      <c r="T158" s="47" t="s">
        <v>712</v>
      </c>
    </row>
    <row r="159" spans="1:20" ht="30" customHeight="1" x14ac:dyDescent="0.25">
      <c r="A159" s="24">
        <f t="shared" si="6"/>
        <v>140</v>
      </c>
      <c r="B159" s="23"/>
      <c r="C159" s="24"/>
      <c r="D159" s="24"/>
      <c r="E159" s="30" t="s">
        <v>672</v>
      </c>
      <c r="F159" s="30" t="s">
        <v>21</v>
      </c>
      <c r="G159" s="33"/>
      <c r="H159" s="24"/>
      <c r="I159" s="44" t="s">
        <v>713</v>
      </c>
      <c r="J159" s="41" t="s">
        <v>68</v>
      </c>
      <c r="K159" s="41" t="s">
        <v>44</v>
      </c>
      <c r="L159" s="89" t="s">
        <v>714</v>
      </c>
      <c r="M159" s="33">
        <v>32137</v>
      </c>
      <c r="N159" s="40" t="s">
        <v>715</v>
      </c>
      <c r="O159" s="24" t="s">
        <v>47</v>
      </c>
      <c r="P159" s="30" t="s">
        <v>48</v>
      </c>
      <c r="Q159" s="35" t="s">
        <v>716</v>
      </c>
      <c r="R159" s="30">
        <v>1</v>
      </c>
      <c r="S159" s="35" t="s">
        <v>717</v>
      </c>
      <c r="T159" s="53" t="s">
        <v>718</v>
      </c>
    </row>
    <row r="160" spans="1:20" ht="30" customHeight="1" x14ac:dyDescent="0.25">
      <c r="A160" s="24">
        <f t="shared" si="6"/>
        <v>141</v>
      </c>
      <c r="B160" s="23"/>
      <c r="C160" s="24"/>
      <c r="D160" s="24"/>
      <c r="E160" s="30" t="s">
        <v>672</v>
      </c>
      <c r="F160" s="30" t="s">
        <v>21</v>
      </c>
      <c r="G160" s="33"/>
      <c r="H160" s="24"/>
      <c r="I160" s="44" t="s">
        <v>174</v>
      </c>
      <c r="J160" s="41" t="s">
        <v>68</v>
      </c>
      <c r="K160" s="41" t="s">
        <v>44</v>
      </c>
      <c r="L160" s="190" t="s">
        <v>719</v>
      </c>
      <c r="M160" s="55"/>
      <c r="N160" s="40"/>
      <c r="O160" s="24"/>
      <c r="P160" s="30"/>
      <c r="Q160" s="35"/>
      <c r="R160" s="30"/>
      <c r="S160" s="35"/>
      <c r="T160" s="36"/>
    </row>
    <row r="161" spans="1:20" ht="30" customHeight="1" x14ac:dyDescent="0.25">
      <c r="A161" s="24">
        <f t="shared" si="6"/>
        <v>142</v>
      </c>
      <c r="B161" s="23"/>
      <c r="C161" s="24"/>
      <c r="D161" s="24"/>
      <c r="E161" s="30" t="s">
        <v>672</v>
      </c>
      <c r="F161" s="30" t="s">
        <v>21</v>
      </c>
      <c r="G161" s="33"/>
      <c r="H161" s="24"/>
      <c r="I161" s="44" t="s">
        <v>720</v>
      </c>
      <c r="J161" s="41" t="s">
        <v>44</v>
      </c>
      <c r="K161" s="41" t="s">
        <v>44</v>
      </c>
      <c r="L161" s="89" t="s">
        <v>721</v>
      </c>
      <c r="M161" s="33">
        <v>33448</v>
      </c>
      <c r="N161" s="40" t="s">
        <v>722</v>
      </c>
      <c r="O161" s="30" t="s">
        <v>47</v>
      </c>
      <c r="P161" s="30" t="s">
        <v>48</v>
      </c>
      <c r="Q161" s="35" t="s">
        <v>723</v>
      </c>
      <c r="R161" s="30">
        <v>1</v>
      </c>
      <c r="S161" s="35" t="s">
        <v>724</v>
      </c>
      <c r="T161" s="24" t="s">
        <v>725</v>
      </c>
    </row>
    <row r="162" spans="1:20" ht="30" customHeight="1" x14ac:dyDescent="0.25">
      <c r="A162" s="24">
        <f t="shared" si="6"/>
        <v>143</v>
      </c>
      <c r="B162" s="23"/>
      <c r="C162" s="24"/>
      <c r="D162" s="24"/>
      <c r="E162" s="30" t="s">
        <v>672</v>
      </c>
      <c r="F162" s="30" t="s">
        <v>21</v>
      </c>
      <c r="G162" s="33"/>
      <c r="H162" s="24"/>
      <c r="I162" s="44" t="s">
        <v>726</v>
      </c>
      <c r="J162" s="41" t="s">
        <v>68</v>
      </c>
      <c r="K162" s="117" t="s">
        <v>68</v>
      </c>
      <c r="L162" s="133" t="s">
        <v>727</v>
      </c>
      <c r="M162" s="33">
        <v>33319</v>
      </c>
      <c r="N162" s="40" t="s">
        <v>728</v>
      </c>
      <c r="O162" s="30" t="s">
        <v>47</v>
      </c>
      <c r="P162" s="30" t="s">
        <v>48</v>
      </c>
      <c r="Q162" s="35" t="s">
        <v>729</v>
      </c>
      <c r="R162" s="30"/>
      <c r="S162" s="35" t="s">
        <v>730</v>
      </c>
      <c r="T162" s="24" t="s">
        <v>731</v>
      </c>
    </row>
    <row r="163" spans="1:20" ht="30" customHeight="1" x14ac:dyDescent="0.25">
      <c r="A163" s="24">
        <f t="shared" si="6"/>
        <v>144</v>
      </c>
      <c r="B163" s="23"/>
      <c r="C163" s="24"/>
      <c r="D163" s="24"/>
      <c r="E163" s="30" t="s">
        <v>672</v>
      </c>
      <c r="F163" s="30" t="s">
        <v>21</v>
      </c>
      <c r="G163" s="33"/>
      <c r="H163" s="24"/>
      <c r="I163" s="44" t="s">
        <v>732</v>
      </c>
      <c r="J163" s="41" t="s">
        <v>33</v>
      </c>
      <c r="K163" s="117" t="s">
        <v>33</v>
      </c>
      <c r="L163" s="89" t="s">
        <v>733</v>
      </c>
      <c r="M163" s="33">
        <v>30261</v>
      </c>
      <c r="N163" s="40" t="s">
        <v>734</v>
      </c>
      <c r="O163" s="30" t="s">
        <v>47</v>
      </c>
      <c r="P163" s="30" t="s">
        <v>48</v>
      </c>
      <c r="Q163" s="35" t="s">
        <v>735</v>
      </c>
      <c r="R163" s="30">
        <v>1</v>
      </c>
      <c r="S163" s="35" t="s">
        <v>736</v>
      </c>
      <c r="T163" s="53" t="s">
        <v>737</v>
      </c>
    </row>
    <row r="164" spans="1:20" ht="30" customHeight="1" x14ac:dyDescent="0.25">
      <c r="A164" s="24">
        <f t="shared" si="6"/>
        <v>145</v>
      </c>
      <c r="B164" s="23"/>
      <c r="C164" s="24"/>
      <c r="D164" s="24"/>
      <c r="E164" s="30" t="s">
        <v>672</v>
      </c>
      <c r="F164" s="30" t="s">
        <v>21</v>
      </c>
      <c r="G164" s="33"/>
      <c r="H164" s="24"/>
      <c r="I164" s="44" t="s">
        <v>738</v>
      </c>
      <c r="J164" s="41" t="s">
        <v>44</v>
      </c>
      <c r="K164" s="41" t="s">
        <v>100</v>
      </c>
      <c r="L164" s="142" t="s">
        <v>739</v>
      </c>
      <c r="M164" s="33">
        <v>35417</v>
      </c>
      <c r="N164" s="40" t="s">
        <v>740</v>
      </c>
      <c r="O164" s="30" t="s">
        <v>47</v>
      </c>
      <c r="P164" s="30" t="s">
        <v>48</v>
      </c>
      <c r="Q164" s="35" t="s">
        <v>741</v>
      </c>
      <c r="R164" s="30">
        <v>1</v>
      </c>
      <c r="S164" s="35" t="s">
        <v>742</v>
      </c>
      <c r="T164" s="47" t="s">
        <v>743</v>
      </c>
    </row>
    <row r="165" spans="1:20" ht="30" customHeight="1" x14ac:dyDescent="0.25">
      <c r="A165" s="24">
        <f t="shared" si="6"/>
        <v>146</v>
      </c>
      <c r="B165" s="23"/>
      <c r="C165" s="24"/>
      <c r="D165" s="24"/>
      <c r="E165" s="30" t="s">
        <v>672</v>
      </c>
      <c r="F165" s="30" t="s">
        <v>21</v>
      </c>
      <c r="G165" s="33"/>
      <c r="H165" s="24"/>
      <c r="I165" s="44" t="s">
        <v>744</v>
      </c>
      <c r="J165" s="41" t="s">
        <v>43</v>
      </c>
      <c r="K165" s="41" t="s">
        <v>43</v>
      </c>
      <c r="L165" s="89" t="s">
        <v>745</v>
      </c>
      <c r="M165" s="33">
        <v>32172</v>
      </c>
      <c r="N165" s="40" t="s">
        <v>746</v>
      </c>
      <c r="O165" s="30" t="s">
        <v>747</v>
      </c>
      <c r="P165" s="30" t="s">
        <v>48</v>
      </c>
      <c r="Q165" s="35" t="s">
        <v>748</v>
      </c>
      <c r="R165" s="30"/>
      <c r="S165" s="35" t="s">
        <v>84</v>
      </c>
      <c r="T165" s="62" t="s">
        <v>749</v>
      </c>
    </row>
    <row r="166" spans="1:20" ht="30" customHeight="1" x14ac:dyDescent="0.25">
      <c r="A166" s="24">
        <f t="shared" si="6"/>
        <v>147</v>
      </c>
      <c r="B166" s="23"/>
      <c r="C166" s="24"/>
      <c r="D166" s="24"/>
      <c r="E166" s="30" t="s">
        <v>672</v>
      </c>
      <c r="F166" s="30" t="s">
        <v>21</v>
      </c>
      <c r="G166" s="33"/>
      <c r="H166" s="24"/>
      <c r="I166" s="44" t="s">
        <v>226</v>
      </c>
      <c r="J166" s="41" t="s">
        <v>68</v>
      </c>
      <c r="K166" s="30" t="s">
        <v>68</v>
      </c>
      <c r="L166" s="89" t="s">
        <v>750</v>
      </c>
      <c r="M166" s="33">
        <v>33195</v>
      </c>
      <c r="N166" s="40" t="s">
        <v>751</v>
      </c>
      <c r="O166" s="30" t="s">
        <v>47</v>
      </c>
      <c r="P166" s="30" t="s">
        <v>48</v>
      </c>
      <c r="Q166" s="35" t="s">
        <v>752</v>
      </c>
      <c r="R166" s="30"/>
      <c r="S166" s="35" t="s">
        <v>753</v>
      </c>
      <c r="T166" s="53" t="s">
        <v>754</v>
      </c>
    </row>
    <row r="167" spans="1:20" ht="30" customHeight="1" x14ac:dyDescent="0.25">
      <c r="A167" s="24">
        <f t="shared" si="6"/>
        <v>148</v>
      </c>
      <c r="B167" s="23"/>
      <c r="C167" s="24"/>
      <c r="D167" s="24"/>
      <c r="E167" s="30" t="s">
        <v>672</v>
      </c>
      <c r="F167" s="30" t="s">
        <v>21</v>
      </c>
      <c r="G167" s="33"/>
      <c r="H167" s="24"/>
      <c r="I167" s="44" t="s">
        <v>229</v>
      </c>
      <c r="J167" s="41" t="s">
        <v>68</v>
      </c>
      <c r="K167" s="41" t="s">
        <v>68</v>
      </c>
      <c r="L167" s="141" t="s">
        <v>755</v>
      </c>
      <c r="M167" s="33">
        <v>33410</v>
      </c>
      <c r="N167" s="40" t="s">
        <v>756</v>
      </c>
      <c r="O167" s="30" t="s">
        <v>47</v>
      </c>
      <c r="P167" s="30" t="s">
        <v>48</v>
      </c>
      <c r="Q167" s="35" t="s">
        <v>757</v>
      </c>
      <c r="R167" s="30">
        <v>2</v>
      </c>
      <c r="S167" s="35" t="s">
        <v>758</v>
      </c>
      <c r="T167" s="47" t="s">
        <v>759</v>
      </c>
    </row>
    <row r="168" spans="1:20" ht="30" customHeight="1" x14ac:dyDescent="0.25">
      <c r="A168" s="24">
        <f t="shared" si="6"/>
        <v>149</v>
      </c>
      <c r="B168" s="23"/>
      <c r="C168" s="24"/>
      <c r="D168" s="24"/>
      <c r="E168" s="30" t="s">
        <v>672</v>
      </c>
      <c r="F168" s="30" t="s">
        <v>21</v>
      </c>
      <c r="G168" s="33"/>
      <c r="H168" s="24"/>
      <c r="I168" s="44" t="s">
        <v>235</v>
      </c>
      <c r="J168" s="41" t="s">
        <v>760</v>
      </c>
      <c r="K168" s="41" t="s">
        <v>760</v>
      </c>
      <c r="L168" s="190" t="s">
        <v>761</v>
      </c>
      <c r="M168" s="33"/>
      <c r="N168" s="40"/>
      <c r="O168" s="30"/>
      <c r="P168" s="30"/>
      <c r="Q168" s="35"/>
      <c r="R168" s="30"/>
      <c r="S168" s="35"/>
      <c r="T168" s="24"/>
    </row>
    <row r="169" spans="1:20" ht="30" customHeight="1" x14ac:dyDescent="0.25">
      <c r="A169" s="24">
        <f t="shared" si="6"/>
        <v>150</v>
      </c>
      <c r="B169" s="23"/>
      <c r="C169" s="24"/>
      <c r="D169" s="24"/>
      <c r="E169" s="30" t="s">
        <v>672</v>
      </c>
      <c r="F169" s="30" t="s">
        <v>21</v>
      </c>
      <c r="G169" s="33"/>
      <c r="H169" s="24"/>
      <c r="I169" s="44" t="s">
        <v>762</v>
      </c>
      <c r="J169" s="41" t="s">
        <v>33</v>
      </c>
      <c r="K169" s="38">
        <v>22</v>
      </c>
      <c r="L169" s="141" t="s">
        <v>29</v>
      </c>
      <c r="M169" s="33"/>
      <c r="N169" s="40"/>
      <c r="O169" s="30"/>
      <c r="P169" s="30"/>
      <c r="Q169" s="35"/>
      <c r="R169" s="30"/>
      <c r="S169" s="35"/>
      <c r="T169" s="24"/>
    </row>
    <row r="170" spans="1:20" ht="30" customHeight="1" x14ac:dyDescent="0.25">
      <c r="A170" s="24">
        <f t="shared" si="6"/>
        <v>151</v>
      </c>
      <c r="B170" s="23"/>
      <c r="C170" s="24"/>
      <c r="D170" s="24"/>
      <c r="E170" s="30" t="s">
        <v>672</v>
      </c>
      <c r="F170" s="30" t="s">
        <v>21</v>
      </c>
      <c r="G170" s="33"/>
      <c r="H170" s="24"/>
      <c r="I170" s="44" t="s">
        <v>249</v>
      </c>
      <c r="J170" s="41" t="s">
        <v>33</v>
      </c>
      <c r="K170" s="41" t="s">
        <v>100</v>
      </c>
      <c r="L170" s="190" t="s">
        <v>763</v>
      </c>
      <c r="M170" s="33"/>
      <c r="N170" s="40"/>
      <c r="O170" s="30"/>
      <c r="P170" s="30"/>
      <c r="Q170" s="35"/>
      <c r="R170" s="30"/>
      <c r="S170" s="35"/>
      <c r="T170" s="24"/>
    </row>
    <row r="171" spans="1:20" ht="30" customHeight="1" x14ac:dyDescent="0.25">
      <c r="A171" s="24">
        <f t="shared" si="6"/>
        <v>152</v>
      </c>
      <c r="B171" s="23"/>
      <c r="C171" s="24"/>
      <c r="D171" s="24"/>
      <c r="E171" s="30" t="s">
        <v>672</v>
      </c>
      <c r="F171" s="30" t="s">
        <v>21</v>
      </c>
      <c r="G171" s="33"/>
      <c r="H171" s="24"/>
      <c r="I171" s="44" t="s">
        <v>261</v>
      </c>
      <c r="J171" s="41" t="s">
        <v>44</v>
      </c>
      <c r="K171" s="41" t="s">
        <v>100</v>
      </c>
      <c r="L171" s="190" t="s">
        <v>764</v>
      </c>
      <c r="M171" s="33"/>
      <c r="N171" s="40"/>
      <c r="O171" s="30"/>
      <c r="P171" s="30"/>
      <c r="Q171" s="35"/>
      <c r="R171" s="30"/>
      <c r="S171" s="35"/>
      <c r="T171" s="24"/>
    </row>
    <row r="172" spans="1:20" ht="30" customHeight="1" x14ac:dyDescent="0.25">
      <c r="A172" s="24">
        <f t="shared" si="6"/>
        <v>153</v>
      </c>
      <c r="B172" s="23"/>
      <c r="C172" s="24"/>
      <c r="D172" s="24"/>
      <c r="E172" s="30" t="s">
        <v>672</v>
      </c>
      <c r="F172" s="30" t="s">
        <v>21</v>
      </c>
      <c r="G172" s="33"/>
      <c r="H172" s="24"/>
      <c r="I172" s="44" t="s">
        <v>262</v>
      </c>
      <c r="J172" s="41" t="s">
        <v>68</v>
      </c>
      <c r="K172" s="41" t="s">
        <v>68</v>
      </c>
      <c r="L172" s="89" t="s">
        <v>765</v>
      </c>
      <c r="M172" s="33">
        <v>28389</v>
      </c>
      <c r="N172" s="40" t="s">
        <v>766</v>
      </c>
      <c r="O172" s="30" t="s">
        <v>554</v>
      </c>
      <c r="P172" s="30" t="s">
        <v>48</v>
      </c>
      <c r="Q172" s="35" t="s">
        <v>767</v>
      </c>
      <c r="R172" s="30"/>
      <c r="S172" s="35" t="e">
        <f>#N/A</f>
        <v>#N/A</v>
      </c>
      <c r="T172" s="53" t="s">
        <v>768</v>
      </c>
    </row>
    <row r="173" spans="1:20" ht="30" customHeight="1" x14ac:dyDescent="0.25">
      <c r="A173" s="24">
        <f t="shared" si="6"/>
        <v>154</v>
      </c>
      <c r="B173" s="23"/>
      <c r="C173" s="24"/>
      <c r="D173" s="24"/>
      <c r="E173" s="30" t="s">
        <v>672</v>
      </c>
      <c r="F173" s="30" t="s">
        <v>21</v>
      </c>
      <c r="G173" s="33"/>
      <c r="H173" s="24"/>
      <c r="I173" s="44" t="s">
        <v>269</v>
      </c>
      <c r="J173" s="41" t="s">
        <v>68</v>
      </c>
      <c r="K173" s="41" t="s">
        <v>44</v>
      </c>
      <c r="L173" s="93" t="s">
        <v>769</v>
      </c>
      <c r="M173" s="33">
        <v>34697</v>
      </c>
      <c r="N173" s="40" t="s">
        <v>182</v>
      </c>
      <c r="O173" s="30" t="s">
        <v>47</v>
      </c>
      <c r="P173" s="30" t="s">
        <v>48</v>
      </c>
      <c r="Q173" s="35" t="s">
        <v>770</v>
      </c>
      <c r="R173" s="30"/>
      <c r="S173" s="35" t="s">
        <v>771</v>
      </c>
      <c r="T173" s="53" t="s">
        <v>772</v>
      </c>
    </row>
    <row r="174" spans="1:20" ht="30" customHeight="1" x14ac:dyDescent="0.25">
      <c r="A174" s="24">
        <f t="shared" si="6"/>
        <v>155</v>
      </c>
      <c r="B174" s="23"/>
      <c r="C174" s="24"/>
      <c r="D174" s="24"/>
      <c r="E174" s="30" t="s">
        <v>672</v>
      </c>
      <c r="F174" s="30" t="s">
        <v>21</v>
      </c>
      <c r="G174" s="33"/>
      <c r="H174" s="24"/>
      <c r="I174" s="44" t="s">
        <v>773</v>
      </c>
      <c r="J174" s="41" t="s">
        <v>33</v>
      </c>
      <c r="K174" s="38">
        <v>23</v>
      </c>
      <c r="L174" s="141" t="s">
        <v>29</v>
      </c>
      <c r="M174" s="33"/>
      <c r="N174" s="40"/>
      <c r="O174" s="30"/>
      <c r="P174" s="30"/>
      <c r="Q174" s="35"/>
      <c r="R174" s="30"/>
      <c r="S174" s="35"/>
      <c r="T174" s="24"/>
    </row>
    <row r="175" spans="1:20" ht="30" customHeight="1" x14ac:dyDescent="0.25">
      <c r="A175" s="24">
        <f t="shared" si="6"/>
        <v>156</v>
      </c>
      <c r="B175" s="23"/>
      <c r="C175" s="24"/>
      <c r="D175" s="24"/>
      <c r="E175" s="30" t="s">
        <v>672</v>
      </c>
      <c r="F175" s="30" t="s">
        <v>21</v>
      </c>
      <c r="G175" s="33"/>
      <c r="H175" s="24"/>
      <c r="I175" s="44" t="s">
        <v>286</v>
      </c>
      <c r="J175" s="41" t="s">
        <v>68</v>
      </c>
      <c r="K175" s="41" t="s">
        <v>100</v>
      </c>
      <c r="L175" s="190" t="s">
        <v>774</v>
      </c>
      <c r="M175" s="33"/>
      <c r="N175" s="40"/>
      <c r="O175" s="30"/>
      <c r="P175" s="30"/>
      <c r="Q175" s="35"/>
      <c r="R175" s="30"/>
      <c r="S175" s="35"/>
      <c r="T175" s="24"/>
    </row>
    <row r="176" spans="1:20" ht="30" customHeight="1" x14ac:dyDescent="0.25">
      <c r="A176" s="24">
        <f t="shared" si="6"/>
        <v>157</v>
      </c>
      <c r="B176" s="23"/>
      <c r="C176" s="24"/>
      <c r="D176" s="24"/>
      <c r="E176" s="30" t="s">
        <v>672</v>
      </c>
      <c r="F176" s="30" t="s">
        <v>21</v>
      </c>
      <c r="G176" s="33"/>
      <c r="H176" s="24"/>
      <c r="I176" s="44" t="s">
        <v>292</v>
      </c>
      <c r="J176" s="41" t="s">
        <v>68</v>
      </c>
      <c r="K176" s="41" t="s">
        <v>44</v>
      </c>
      <c r="L176" s="190" t="s">
        <v>775</v>
      </c>
      <c r="M176" s="33"/>
      <c r="N176" s="40"/>
      <c r="O176" s="30"/>
      <c r="P176" s="30"/>
      <c r="Q176" s="35"/>
      <c r="R176" s="30"/>
      <c r="S176" s="35"/>
      <c r="T176" s="24"/>
    </row>
    <row r="177" spans="1:20" ht="30" customHeight="1" x14ac:dyDescent="0.25">
      <c r="A177" s="24">
        <f t="shared" si="6"/>
        <v>158</v>
      </c>
      <c r="B177" s="23"/>
      <c r="C177" s="24"/>
      <c r="D177" s="67"/>
      <c r="E177" s="68" t="s">
        <v>672</v>
      </c>
      <c r="F177" s="68" t="s">
        <v>21</v>
      </c>
      <c r="G177" s="33"/>
      <c r="H177" s="24"/>
      <c r="I177" s="44" t="s">
        <v>294</v>
      </c>
      <c r="J177" s="41" t="s">
        <v>68</v>
      </c>
      <c r="K177" s="41" t="s">
        <v>44</v>
      </c>
      <c r="L177" s="190" t="s">
        <v>776</v>
      </c>
      <c r="M177" s="33"/>
      <c r="N177" s="40"/>
      <c r="O177" s="30"/>
      <c r="P177" s="30"/>
      <c r="Q177" s="35"/>
      <c r="R177" s="30"/>
      <c r="S177" s="35"/>
      <c r="T177" s="24"/>
    </row>
    <row r="178" spans="1:20" ht="30" customHeight="1" x14ac:dyDescent="0.25">
      <c r="A178" s="70" t="e">
        <f>REPT(#REF!,#REF!)</f>
        <v>#REF!</v>
      </c>
      <c r="B178" s="71"/>
      <c r="C178" s="72"/>
      <c r="D178" s="72"/>
      <c r="E178" s="180" t="s">
        <v>672</v>
      </c>
      <c r="F178" s="192" t="e">
        <f>REPT(#REF!,#REF!)</f>
        <v>#REF!</v>
      </c>
      <c r="G178" s="75"/>
      <c r="H178" s="140"/>
      <c r="I178" s="76"/>
      <c r="J178" s="77"/>
      <c r="K178" s="78"/>
      <c r="L178" s="79"/>
      <c r="M178" s="80"/>
      <c r="N178" s="81"/>
      <c r="O178" s="82"/>
      <c r="P178" s="83"/>
      <c r="Q178" s="83"/>
      <c r="R178" s="83"/>
      <c r="S178" s="84"/>
      <c r="T178" s="85"/>
    </row>
    <row r="179" spans="1:20" ht="30" customHeight="1" x14ac:dyDescent="0.25">
      <c r="A179" s="24">
        <f>A177+1</f>
        <v>159</v>
      </c>
      <c r="B179" s="23" t="s">
        <v>636</v>
      </c>
      <c r="C179" s="24"/>
      <c r="D179" s="25"/>
      <c r="E179" s="26" t="s">
        <v>672</v>
      </c>
      <c r="F179" s="26" t="s">
        <v>777</v>
      </c>
      <c r="G179" s="33"/>
      <c r="H179" s="37" t="s">
        <v>27</v>
      </c>
      <c r="I179" s="88" t="s">
        <v>778</v>
      </c>
      <c r="J179" s="41" t="s">
        <v>33</v>
      </c>
      <c r="K179" s="41" t="s">
        <v>43</v>
      </c>
      <c r="L179" s="45" t="s">
        <v>779</v>
      </c>
      <c r="M179" s="33">
        <v>32097</v>
      </c>
      <c r="N179" s="40" t="s">
        <v>780</v>
      </c>
      <c r="O179" s="30" t="s">
        <v>47</v>
      </c>
      <c r="P179" s="30" t="s">
        <v>48</v>
      </c>
      <c r="Q179" s="35" t="s">
        <v>781</v>
      </c>
      <c r="R179" s="30">
        <v>1</v>
      </c>
      <c r="S179" s="35" t="s">
        <v>782</v>
      </c>
      <c r="T179" s="53" t="s">
        <v>783</v>
      </c>
    </row>
    <row r="180" spans="1:20" ht="30" customHeight="1" x14ac:dyDescent="0.25">
      <c r="A180" s="24">
        <f t="shared" ref="A180:A206" si="7">A179+1</f>
        <v>160</v>
      </c>
      <c r="B180" s="23" t="s">
        <v>636</v>
      </c>
      <c r="C180" s="24"/>
      <c r="D180" s="24"/>
      <c r="E180" s="30" t="s">
        <v>672</v>
      </c>
      <c r="F180" s="30" t="s">
        <v>777</v>
      </c>
      <c r="G180" s="33"/>
      <c r="H180" s="37" t="s">
        <v>27</v>
      </c>
      <c r="I180" s="90" t="s">
        <v>784</v>
      </c>
      <c r="J180" s="41" t="s">
        <v>43</v>
      </c>
      <c r="K180" s="193" t="s">
        <v>68</v>
      </c>
      <c r="L180" s="164" t="s">
        <v>785</v>
      </c>
      <c r="M180" s="87">
        <v>33582</v>
      </c>
      <c r="N180" s="130" t="s">
        <v>786</v>
      </c>
      <c r="O180" s="26" t="s">
        <v>47</v>
      </c>
      <c r="P180" s="26" t="s">
        <v>37</v>
      </c>
      <c r="Q180" s="131" t="s">
        <v>787</v>
      </c>
      <c r="R180" s="26"/>
      <c r="S180" s="131" t="s">
        <v>788</v>
      </c>
      <c r="T180" s="132" t="s">
        <v>789</v>
      </c>
    </row>
    <row r="181" spans="1:20" ht="30" customHeight="1" x14ac:dyDescent="0.25">
      <c r="A181" s="24">
        <f t="shared" si="7"/>
        <v>161</v>
      </c>
      <c r="B181" s="23" t="s">
        <v>636</v>
      </c>
      <c r="C181" s="24" t="s">
        <v>31</v>
      </c>
      <c r="D181" s="24"/>
      <c r="E181" s="30" t="s">
        <v>672</v>
      </c>
      <c r="F181" s="30" t="s">
        <v>777</v>
      </c>
      <c r="G181" s="33"/>
      <c r="H181" s="43" t="s">
        <v>41</v>
      </c>
      <c r="I181" s="90" t="s">
        <v>790</v>
      </c>
      <c r="J181" s="41" t="s">
        <v>43</v>
      </c>
      <c r="K181" s="41" t="s">
        <v>43</v>
      </c>
      <c r="L181" s="164" t="s">
        <v>791</v>
      </c>
      <c r="M181" s="87">
        <v>31450</v>
      </c>
      <c r="N181" s="130" t="s">
        <v>792</v>
      </c>
      <c r="O181" s="26" t="s">
        <v>47</v>
      </c>
      <c r="P181" s="26" t="s">
        <v>48</v>
      </c>
      <c r="Q181" s="131" t="s">
        <v>793</v>
      </c>
      <c r="R181" s="26">
        <v>2</v>
      </c>
      <c r="S181" s="131" t="s">
        <v>794</v>
      </c>
      <c r="T181" s="132" t="s">
        <v>795</v>
      </c>
    </row>
    <row r="182" spans="1:20" ht="30" customHeight="1" x14ac:dyDescent="0.25">
      <c r="A182" s="24">
        <f t="shared" si="7"/>
        <v>162</v>
      </c>
      <c r="B182" s="23" t="s">
        <v>636</v>
      </c>
      <c r="C182" s="24"/>
      <c r="D182" s="24"/>
      <c r="E182" s="30" t="s">
        <v>672</v>
      </c>
      <c r="F182" s="30" t="s">
        <v>777</v>
      </c>
      <c r="G182" s="33"/>
      <c r="H182" s="37" t="s">
        <v>27</v>
      </c>
      <c r="I182" s="90" t="s">
        <v>796</v>
      </c>
      <c r="J182" s="41" t="s">
        <v>43</v>
      </c>
      <c r="K182" s="41" t="s">
        <v>43</v>
      </c>
      <c r="L182" s="45" t="s">
        <v>797</v>
      </c>
      <c r="M182" s="33">
        <v>32344</v>
      </c>
      <c r="N182" s="40" t="s">
        <v>798</v>
      </c>
      <c r="O182" s="30" t="s">
        <v>47</v>
      </c>
      <c r="P182" s="30" t="s">
        <v>48</v>
      </c>
      <c r="Q182" s="35" t="s">
        <v>799</v>
      </c>
      <c r="R182" s="30"/>
      <c r="S182" s="35" t="s">
        <v>800</v>
      </c>
      <c r="T182" s="47" t="s">
        <v>801</v>
      </c>
    </row>
    <row r="183" spans="1:20" ht="30" customHeight="1" x14ac:dyDescent="0.25">
      <c r="A183" s="24">
        <f t="shared" si="7"/>
        <v>163</v>
      </c>
      <c r="B183" s="23" t="s">
        <v>636</v>
      </c>
      <c r="C183" s="24" t="s">
        <v>313</v>
      </c>
      <c r="D183" s="24"/>
      <c r="E183" s="30" t="s">
        <v>672</v>
      </c>
      <c r="F183" s="30" t="s">
        <v>777</v>
      </c>
      <c r="G183" s="33"/>
      <c r="H183" s="37" t="s">
        <v>27</v>
      </c>
      <c r="I183" s="90" t="s">
        <v>802</v>
      </c>
      <c r="J183" s="41" t="s">
        <v>43</v>
      </c>
      <c r="K183" s="41" t="s">
        <v>68</v>
      </c>
      <c r="L183" s="45" t="s">
        <v>803</v>
      </c>
      <c r="M183" s="33">
        <v>31247</v>
      </c>
      <c r="N183" s="40" t="s">
        <v>804</v>
      </c>
      <c r="O183" s="30" t="s">
        <v>47</v>
      </c>
      <c r="P183" s="30" t="s">
        <v>48</v>
      </c>
      <c r="Q183" s="35" t="s">
        <v>805</v>
      </c>
      <c r="R183" s="30">
        <v>1</v>
      </c>
      <c r="S183" s="35" t="s">
        <v>806</v>
      </c>
      <c r="T183" s="53" t="s">
        <v>807</v>
      </c>
    </row>
    <row r="184" spans="1:20" ht="30" customHeight="1" x14ac:dyDescent="0.25">
      <c r="A184" s="24">
        <f t="shared" si="7"/>
        <v>164</v>
      </c>
      <c r="B184" s="23" t="s">
        <v>636</v>
      </c>
      <c r="C184" s="24"/>
      <c r="D184" s="24"/>
      <c r="E184" s="30" t="s">
        <v>672</v>
      </c>
      <c r="F184" s="30" t="s">
        <v>777</v>
      </c>
      <c r="G184" s="33"/>
      <c r="H184" s="43" t="s">
        <v>41</v>
      </c>
      <c r="I184" s="44" t="s">
        <v>808</v>
      </c>
      <c r="J184" s="41" t="s">
        <v>68</v>
      </c>
      <c r="K184" s="41" t="s">
        <v>68</v>
      </c>
      <c r="L184" s="45" t="s">
        <v>809</v>
      </c>
      <c r="M184" s="33">
        <v>32697</v>
      </c>
      <c r="N184" s="40" t="s">
        <v>810</v>
      </c>
      <c r="O184" s="30" t="s">
        <v>47</v>
      </c>
      <c r="P184" s="30" t="s">
        <v>48</v>
      </c>
      <c r="Q184" s="35" t="s">
        <v>811</v>
      </c>
      <c r="R184" s="30">
        <v>2</v>
      </c>
      <c r="S184" s="35" t="s">
        <v>812</v>
      </c>
      <c r="T184" s="53" t="s">
        <v>813</v>
      </c>
    </row>
    <row r="185" spans="1:20" ht="30" customHeight="1" x14ac:dyDescent="0.25">
      <c r="A185" s="24">
        <f t="shared" si="7"/>
        <v>165</v>
      </c>
      <c r="B185" s="23" t="s">
        <v>636</v>
      </c>
      <c r="C185" s="24"/>
      <c r="D185" s="24"/>
      <c r="E185" s="30" t="s">
        <v>672</v>
      </c>
      <c r="F185" s="30" t="s">
        <v>777</v>
      </c>
      <c r="G185" s="33"/>
      <c r="H185" s="43" t="s">
        <v>41</v>
      </c>
      <c r="I185" s="91" t="s">
        <v>814</v>
      </c>
      <c r="J185" s="41" t="s">
        <v>68</v>
      </c>
      <c r="K185" s="41" t="s">
        <v>44</v>
      </c>
      <c r="L185" s="56" t="s">
        <v>815</v>
      </c>
      <c r="M185" s="33">
        <v>35180</v>
      </c>
      <c r="N185" s="40" t="s">
        <v>816</v>
      </c>
      <c r="O185" s="30" t="s">
        <v>47</v>
      </c>
      <c r="P185" s="30" t="s">
        <v>37</v>
      </c>
      <c r="Q185" s="35" t="s">
        <v>817</v>
      </c>
      <c r="R185" s="30"/>
      <c r="S185" s="35" t="s">
        <v>818</v>
      </c>
      <c r="T185" s="53" t="s">
        <v>819</v>
      </c>
    </row>
    <row r="186" spans="1:20" ht="30" customHeight="1" x14ac:dyDescent="0.25">
      <c r="A186" s="24">
        <f t="shared" si="7"/>
        <v>166</v>
      </c>
      <c r="B186" s="23" t="s">
        <v>636</v>
      </c>
      <c r="C186" s="24" t="s">
        <v>31</v>
      </c>
      <c r="D186" s="24" t="s">
        <v>185</v>
      </c>
      <c r="E186" s="30" t="s">
        <v>672</v>
      </c>
      <c r="F186" s="30" t="s">
        <v>777</v>
      </c>
      <c r="G186" s="33"/>
      <c r="H186" s="43" t="s">
        <v>41</v>
      </c>
      <c r="I186" s="96" t="s">
        <v>820</v>
      </c>
      <c r="J186" s="41" t="s">
        <v>44</v>
      </c>
      <c r="K186" s="41" t="s">
        <v>44</v>
      </c>
      <c r="L186" s="45" t="s">
        <v>821</v>
      </c>
      <c r="M186" s="33">
        <v>31590</v>
      </c>
      <c r="N186" s="40" t="s">
        <v>822</v>
      </c>
      <c r="O186" s="30" t="s">
        <v>47</v>
      </c>
      <c r="P186" s="30" t="s">
        <v>48</v>
      </c>
      <c r="Q186" s="35" t="s">
        <v>823</v>
      </c>
      <c r="R186" s="30">
        <v>2</v>
      </c>
      <c r="S186" s="35" t="s">
        <v>824</v>
      </c>
      <c r="T186" s="53" t="s">
        <v>825</v>
      </c>
    </row>
    <row r="187" spans="1:20" ht="30" customHeight="1" x14ac:dyDescent="0.25">
      <c r="A187" s="24">
        <f t="shared" si="7"/>
        <v>167</v>
      </c>
      <c r="B187" s="23" t="s">
        <v>636</v>
      </c>
      <c r="C187" s="24"/>
      <c r="D187" s="24" t="s">
        <v>185</v>
      </c>
      <c r="E187" s="30" t="s">
        <v>672</v>
      </c>
      <c r="F187" s="30" t="s">
        <v>777</v>
      </c>
      <c r="G187" s="33"/>
      <c r="H187" s="43" t="s">
        <v>41</v>
      </c>
      <c r="I187" s="92" t="s">
        <v>826</v>
      </c>
      <c r="J187" s="41" t="s">
        <v>44</v>
      </c>
      <c r="K187" s="41" t="s">
        <v>68</v>
      </c>
      <c r="L187" s="45" t="s">
        <v>827</v>
      </c>
      <c r="M187" s="194">
        <v>33319</v>
      </c>
      <c r="N187" s="195" t="s">
        <v>828</v>
      </c>
      <c r="O187" s="67" t="s">
        <v>47</v>
      </c>
      <c r="P187" s="67" t="s">
        <v>48</v>
      </c>
      <c r="Q187" s="196" t="s">
        <v>829</v>
      </c>
      <c r="R187" s="67">
        <v>1</v>
      </c>
      <c r="S187" s="196" t="s">
        <v>830</v>
      </c>
      <c r="T187" s="136" t="s">
        <v>831</v>
      </c>
    </row>
    <row r="188" spans="1:20" ht="30" customHeight="1" x14ac:dyDescent="0.25">
      <c r="A188" s="24">
        <f t="shared" si="7"/>
        <v>168</v>
      </c>
      <c r="B188" s="23" t="s">
        <v>636</v>
      </c>
      <c r="C188" s="24"/>
      <c r="D188" s="24" t="s">
        <v>185</v>
      </c>
      <c r="E188" s="30" t="s">
        <v>672</v>
      </c>
      <c r="F188" s="30" t="s">
        <v>777</v>
      </c>
      <c r="G188" s="33"/>
      <c r="H188" s="43" t="s">
        <v>41</v>
      </c>
      <c r="I188" s="92" t="s">
        <v>832</v>
      </c>
      <c r="J188" s="41" t="s">
        <v>44</v>
      </c>
      <c r="K188" s="41" t="s">
        <v>100</v>
      </c>
      <c r="L188" s="150" t="s">
        <v>833</v>
      </c>
      <c r="M188" s="33">
        <v>35810</v>
      </c>
      <c r="N188" s="40" t="s">
        <v>834</v>
      </c>
      <c r="O188" s="24" t="s">
        <v>47</v>
      </c>
      <c r="P188" s="30" t="s">
        <v>37</v>
      </c>
      <c r="Q188" s="35" t="s">
        <v>835</v>
      </c>
      <c r="R188" s="30"/>
      <c r="S188" s="35" t="s">
        <v>836</v>
      </c>
      <c r="T188" s="47" t="s">
        <v>837</v>
      </c>
    </row>
    <row r="189" spans="1:20" ht="30" customHeight="1" x14ac:dyDescent="0.25">
      <c r="A189" s="24">
        <f t="shared" si="7"/>
        <v>169</v>
      </c>
      <c r="B189" s="23" t="s">
        <v>636</v>
      </c>
      <c r="C189" s="24"/>
      <c r="D189" s="24" t="s">
        <v>185</v>
      </c>
      <c r="E189" s="30" t="s">
        <v>672</v>
      </c>
      <c r="F189" s="30" t="s">
        <v>777</v>
      </c>
      <c r="G189" s="33"/>
      <c r="H189" s="43" t="s">
        <v>41</v>
      </c>
      <c r="I189" s="92" t="s">
        <v>838</v>
      </c>
      <c r="J189" s="41" t="s">
        <v>44</v>
      </c>
      <c r="K189" s="41" t="s">
        <v>44</v>
      </c>
      <c r="L189" s="45" t="s">
        <v>839</v>
      </c>
      <c r="M189" s="33">
        <v>30122</v>
      </c>
      <c r="N189" s="40" t="s">
        <v>153</v>
      </c>
      <c r="O189" s="30" t="s">
        <v>47</v>
      </c>
      <c r="P189" s="30" t="s">
        <v>48</v>
      </c>
      <c r="Q189" s="35" t="s">
        <v>840</v>
      </c>
      <c r="R189" s="30">
        <v>1</v>
      </c>
      <c r="S189" s="35" t="s">
        <v>841</v>
      </c>
      <c r="T189" s="53" t="s">
        <v>842</v>
      </c>
    </row>
    <row r="190" spans="1:20" ht="30" customHeight="1" x14ac:dyDescent="0.25">
      <c r="A190" s="24">
        <f t="shared" si="7"/>
        <v>170</v>
      </c>
      <c r="B190" s="23" t="s">
        <v>636</v>
      </c>
      <c r="C190" s="24"/>
      <c r="D190" s="24"/>
      <c r="E190" s="30" t="s">
        <v>672</v>
      </c>
      <c r="F190" s="30" t="s">
        <v>777</v>
      </c>
      <c r="G190" s="33"/>
      <c r="H190" s="43" t="s">
        <v>41</v>
      </c>
      <c r="I190" s="91" t="s">
        <v>843</v>
      </c>
      <c r="J190" s="41" t="s">
        <v>68</v>
      </c>
      <c r="K190" s="41" t="s">
        <v>44</v>
      </c>
      <c r="L190" s="56" t="s">
        <v>844</v>
      </c>
      <c r="M190" s="33">
        <v>35285</v>
      </c>
      <c r="N190" s="40" t="s">
        <v>845</v>
      </c>
      <c r="O190" s="30" t="s">
        <v>47</v>
      </c>
      <c r="P190" s="30" t="s">
        <v>37</v>
      </c>
      <c r="Q190" s="35" t="s">
        <v>846</v>
      </c>
      <c r="R190" s="30"/>
      <c r="S190" s="35" t="s">
        <v>84</v>
      </c>
      <c r="T190" s="53" t="s">
        <v>847</v>
      </c>
    </row>
    <row r="191" spans="1:20" ht="30" customHeight="1" x14ac:dyDescent="0.25">
      <c r="A191" s="24">
        <f t="shared" si="7"/>
        <v>171</v>
      </c>
      <c r="B191" s="23" t="s">
        <v>636</v>
      </c>
      <c r="C191" s="24" t="s">
        <v>31</v>
      </c>
      <c r="D191" s="24" t="s">
        <v>185</v>
      </c>
      <c r="E191" s="30" t="s">
        <v>672</v>
      </c>
      <c r="F191" s="30" t="s">
        <v>777</v>
      </c>
      <c r="G191" s="33"/>
      <c r="H191" s="43" t="s">
        <v>41</v>
      </c>
      <c r="I191" s="96" t="s">
        <v>848</v>
      </c>
      <c r="J191" s="41" t="s">
        <v>44</v>
      </c>
      <c r="K191" s="41" t="s">
        <v>44</v>
      </c>
      <c r="L191" s="56" t="s">
        <v>849</v>
      </c>
      <c r="M191" s="33">
        <v>35316</v>
      </c>
      <c r="N191" s="40" t="s">
        <v>182</v>
      </c>
      <c r="O191" s="30" t="s">
        <v>47</v>
      </c>
      <c r="P191" s="30" t="s">
        <v>37</v>
      </c>
      <c r="Q191" s="35" t="s">
        <v>850</v>
      </c>
      <c r="R191" s="30"/>
      <c r="S191" s="35" t="s">
        <v>851</v>
      </c>
      <c r="T191" s="53" t="s">
        <v>852</v>
      </c>
    </row>
    <row r="192" spans="1:20" ht="30" customHeight="1" x14ac:dyDescent="0.25">
      <c r="A192" s="24">
        <f t="shared" si="7"/>
        <v>172</v>
      </c>
      <c r="B192" s="23" t="s">
        <v>636</v>
      </c>
      <c r="C192" s="24"/>
      <c r="D192" s="24" t="s">
        <v>185</v>
      </c>
      <c r="E192" s="30" t="s">
        <v>672</v>
      </c>
      <c r="F192" s="30" t="s">
        <v>777</v>
      </c>
      <c r="G192" s="33"/>
      <c r="H192" s="43" t="s">
        <v>41</v>
      </c>
      <c r="I192" s="92" t="s">
        <v>853</v>
      </c>
      <c r="J192" s="41" t="s">
        <v>44</v>
      </c>
      <c r="K192" s="41" t="s">
        <v>100</v>
      </c>
      <c r="L192" s="150" t="s">
        <v>854</v>
      </c>
      <c r="M192" s="33">
        <v>36265</v>
      </c>
      <c r="N192" s="40" t="s">
        <v>855</v>
      </c>
      <c r="O192" s="24" t="s">
        <v>47</v>
      </c>
      <c r="P192" s="30" t="s">
        <v>37</v>
      </c>
      <c r="Q192" s="35" t="s">
        <v>856</v>
      </c>
      <c r="R192" s="30"/>
      <c r="S192" s="35" t="s">
        <v>857</v>
      </c>
      <c r="T192" s="47" t="s">
        <v>858</v>
      </c>
    </row>
    <row r="193" spans="1:20" ht="30" customHeight="1" x14ac:dyDescent="0.25">
      <c r="A193" s="24">
        <f t="shared" si="7"/>
        <v>173</v>
      </c>
      <c r="B193" s="23" t="s">
        <v>636</v>
      </c>
      <c r="C193" s="24"/>
      <c r="D193" s="24" t="s">
        <v>185</v>
      </c>
      <c r="E193" s="30" t="s">
        <v>672</v>
      </c>
      <c r="F193" s="30" t="s">
        <v>777</v>
      </c>
      <c r="G193" s="33"/>
      <c r="H193" s="43" t="s">
        <v>41</v>
      </c>
      <c r="I193" s="92" t="s">
        <v>859</v>
      </c>
      <c r="J193" s="41" t="s">
        <v>44</v>
      </c>
      <c r="K193" s="41" t="s">
        <v>44</v>
      </c>
      <c r="L193" s="197" t="s">
        <v>860</v>
      </c>
      <c r="M193" s="69">
        <v>34780</v>
      </c>
      <c r="N193" s="134" t="s">
        <v>861</v>
      </c>
      <c r="O193" s="68" t="s">
        <v>47</v>
      </c>
      <c r="P193" s="68" t="s">
        <v>37</v>
      </c>
      <c r="Q193" s="135" t="s">
        <v>862</v>
      </c>
      <c r="R193" s="68"/>
      <c r="S193" s="135" t="s">
        <v>863</v>
      </c>
      <c r="T193" s="136" t="s">
        <v>864</v>
      </c>
    </row>
    <row r="194" spans="1:20" ht="30" customHeight="1" x14ac:dyDescent="0.25">
      <c r="A194" s="24">
        <f t="shared" si="7"/>
        <v>174</v>
      </c>
      <c r="B194" s="23" t="s">
        <v>636</v>
      </c>
      <c r="C194" s="24"/>
      <c r="D194" s="24" t="s">
        <v>185</v>
      </c>
      <c r="E194" s="30" t="s">
        <v>672</v>
      </c>
      <c r="F194" s="30" t="s">
        <v>777</v>
      </c>
      <c r="G194" s="33"/>
      <c r="H194" s="43" t="s">
        <v>41</v>
      </c>
      <c r="I194" s="92" t="s">
        <v>865</v>
      </c>
      <c r="J194" s="41" t="s">
        <v>44</v>
      </c>
      <c r="K194" s="41" t="s">
        <v>44</v>
      </c>
      <c r="L194" s="56" t="s">
        <v>866</v>
      </c>
      <c r="M194" s="33">
        <v>35307</v>
      </c>
      <c r="N194" s="40" t="s">
        <v>867</v>
      </c>
      <c r="O194" s="30" t="s">
        <v>47</v>
      </c>
      <c r="P194" s="30" t="s">
        <v>37</v>
      </c>
      <c r="Q194" s="35" t="s">
        <v>868</v>
      </c>
      <c r="R194" s="30"/>
      <c r="S194" s="35" t="s">
        <v>869</v>
      </c>
      <c r="T194" s="53" t="s">
        <v>870</v>
      </c>
    </row>
    <row r="195" spans="1:20" ht="30" customHeight="1" x14ac:dyDescent="0.25">
      <c r="A195" s="24">
        <f t="shared" si="7"/>
        <v>175</v>
      </c>
      <c r="B195" s="23" t="s">
        <v>636</v>
      </c>
      <c r="C195" s="24"/>
      <c r="D195" s="24"/>
      <c r="E195" s="30" t="s">
        <v>672</v>
      </c>
      <c r="F195" s="30" t="s">
        <v>777</v>
      </c>
      <c r="G195" s="33"/>
      <c r="H195" s="43" t="s">
        <v>41</v>
      </c>
      <c r="I195" s="91" t="s">
        <v>871</v>
      </c>
      <c r="J195" s="41" t="s">
        <v>68</v>
      </c>
      <c r="K195" s="41" t="s">
        <v>44</v>
      </c>
      <c r="L195" s="45" t="s">
        <v>872</v>
      </c>
      <c r="M195" s="33">
        <v>32866</v>
      </c>
      <c r="N195" s="40" t="s">
        <v>90</v>
      </c>
      <c r="O195" s="30" t="s">
        <v>47</v>
      </c>
      <c r="P195" s="30" t="s">
        <v>48</v>
      </c>
      <c r="Q195" s="35" t="s">
        <v>873</v>
      </c>
      <c r="R195" s="30">
        <v>2</v>
      </c>
      <c r="S195" s="35" t="s">
        <v>874</v>
      </c>
      <c r="T195" s="53" t="s">
        <v>875</v>
      </c>
    </row>
    <row r="196" spans="1:20" ht="30" customHeight="1" x14ac:dyDescent="0.25">
      <c r="A196" s="24">
        <f t="shared" si="7"/>
        <v>176</v>
      </c>
      <c r="B196" s="23" t="s">
        <v>636</v>
      </c>
      <c r="C196" s="24" t="s">
        <v>31</v>
      </c>
      <c r="D196" s="24" t="s">
        <v>185</v>
      </c>
      <c r="E196" s="30" t="s">
        <v>672</v>
      </c>
      <c r="F196" s="30" t="s">
        <v>777</v>
      </c>
      <c r="G196" s="33"/>
      <c r="H196" s="43" t="s">
        <v>41</v>
      </c>
      <c r="I196" s="96" t="s">
        <v>876</v>
      </c>
      <c r="J196" s="41" t="s">
        <v>44</v>
      </c>
      <c r="K196" s="41" t="s">
        <v>44</v>
      </c>
      <c r="L196" s="45" t="s">
        <v>877</v>
      </c>
      <c r="M196" s="33">
        <v>30499</v>
      </c>
      <c r="N196" s="40" t="s">
        <v>153</v>
      </c>
      <c r="O196" s="30" t="s">
        <v>47</v>
      </c>
      <c r="P196" s="30" t="s">
        <v>48</v>
      </c>
      <c r="Q196" s="35" t="s">
        <v>878</v>
      </c>
      <c r="R196" s="30">
        <v>2</v>
      </c>
      <c r="S196" s="35" t="s">
        <v>879</v>
      </c>
      <c r="T196" s="53" t="s">
        <v>880</v>
      </c>
    </row>
    <row r="197" spans="1:20" ht="30" customHeight="1" x14ac:dyDescent="0.25">
      <c r="A197" s="24">
        <f t="shared" si="7"/>
        <v>177</v>
      </c>
      <c r="B197" s="23" t="s">
        <v>636</v>
      </c>
      <c r="C197" s="24"/>
      <c r="D197" s="24" t="s">
        <v>185</v>
      </c>
      <c r="E197" s="30" t="s">
        <v>672</v>
      </c>
      <c r="F197" s="30" t="s">
        <v>777</v>
      </c>
      <c r="G197" s="33"/>
      <c r="H197" s="43" t="s">
        <v>41</v>
      </c>
      <c r="I197" s="92" t="s">
        <v>881</v>
      </c>
      <c r="J197" s="41" t="s">
        <v>44</v>
      </c>
      <c r="K197" s="128" t="s">
        <v>44</v>
      </c>
      <c r="L197" s="164" t="s">
        <v>882</v>
      </c>
      <c r="M197" s="87">
        <v>32555</v>
      </c>
      <c r="N197" s="130" t="s">
        <v>614</v>
      </c>
      <c r="O197" s="26" t="s">
        <v>47</v>
      </c>
      <c r="P197" s="26" t="s">
        <v>37</v>
      </c>
      <c r="Q197" s="131" t="s">
        <v>883</v>
      </c>
      <c r="R197" s="26"/>
      <c r="S197" s="131" t="s">
        <v>72</v>
      </c>
      <c r="T197" s="132" t="s">
        <v>884</v>
      </c>
    </row>
    <row r="198" spans="1:20" ht="30" customHeight="1" x14ac:dyDescent="0.25">
      <c r="A198" s="24">
        <f t="shared" si="7"/>
        <v>178</v>
      </c>
      <c r="B198" s="23" t="s">
        <v>636</v>
      </c>
      <c r="C198" s="24"/>
      <c r="D198" s="24" t="s">
        <v>185</v>
      </c>
      <c r="E198" s="30" t="s">
        <v>672</v>
      </c>
      <c r="F198" s="30" t="s">
        <v>777</v>
      </c>
      <c r="G198" s="33"/>
      <c r="H198" s="43" t="s">
        <v>41</v>
      </c>
      <c r="I198" s="102" t="s">
        <v>865</v>
      </c>
      <c r="J198" s="117" t="s">
        <v>44</v>
      </c>
      <c r="K198" s="41" t="s">
        <v>100</v>
      </c>
      <c r="L198" s="150" t="s">
        <v>885</v>
      </c>
      <c r="M198" s="55">
        <v>36275</v>
      </c>
      <c r="N198" s="198" t="s">
        <v>886</v>
      </c>
      <c r="O198" s="153" t="s">
        <v>47</v>
      </c>
      <c r="P198" s="30" t="s">
        <v>48</v>
      </c>
      <c r="Q198" s="35" t="s">
        <v>887</v>
      </c>
      <c r="R198" s="30"/>
      <c r="S198" s="35" t="s">
        <v>888</v>
      </c>
      <c r="T198" s="47" t="s">
        <v>889</v>
      </c>
    </row>
    <row r="199" spans="1:20" ht="30" customHeight="1" x14ac:dyDescent="0.25">
      <c r="A199" s="24">
        <f t="shared" si="7"/>
        <v>179</v>
      </c>
      <c r="B199" s="23" t="s">
        <v>636</v>
      </c>
      <c r="C199" s="24"/>
      <c r="D199" s="24" t="s">
        <v>185</v>
      </c>
      <c r="E199" s="30" t="s">
        <v>672</v>
      </c>
      <c r="F199" s="30" t="s">
        <v>777</v>
      </c>
      <c r="G199" s="33"/>
      <c r="H199" s="43" t="s">
        <v>41</v>
      </c>
      <c r="I199" s="92" t="s">
        <v>890</v>
      </c>
      <c r="J199" s="41" t="s">
        <v>44</v>
      </c>
      <c r="K199" s="41" t="s">
        <v>44</v>
      </c>
      <c r="L199" s="56" t="s">
        <v>891</v>
      </c>
      <c r="M199" s="33">
        <v>35023</v>
      </c>
      <c r="N199" s="40" t="s">
        <v>892</v>
      </c>
      <c r="O199" s="30" t="s">
        <v>47</v>
      </c>
      <c r="P199" s="30" t="s">
        <v>48</v>
      </c>
      <c r="Q199" s="35" t="s">
        <v>893</v>
      </c>
      <c r="R199" s="30"/>
      <c r="S199" s="35" t="s">
        <v>84</v>
      </c>
      <c r="T199" s="53" t="s">
        <v>894</v>
      </c>
    </row>
    <row r="200" spans="1:20" ht="30" customHeight="1" x14ac:dyDescent="0.25">
      <c r="A200" s="24">
        <f t="shared" si="7"/>
        <v>180</v>
      </c>
      <c r="B200" s="23" t="s">
        <v>200</v>
      </c>
      <c r="C200" s="24"/>
      <c r="D200" s="24"/>
      <c r="E200" s="30" t="s">
        <v>672</v>
      </c>
      <c r="F200" s="30" t="s">
        <v>777</v>
      </c>
      <c r="G200" s="33"/>
      <c r="H200" s="43" t="s">
        <v>41</v>
      </c>
      <c r="I200" s="91" t="s">
        <v>895</v>
      </c>
      <c r="J200" s="41" t="s">
        <v>68</v>
      </c>
      <c r="K200" s="41" t="s">
        <v>68</v>
      </c>
      <c r="L200" s="45" t="s">
        <v>896</v>
      </c>
      <c r="M200" s="33">
        <v>32375</v>
      </c>
      <c r="N200" s="40" t="s">
        <v>897</v>
      </c>
      <c r="O200" s="30" t="s">
        <v>47</v>
      </c>
      <c r="P200" s="30" t="s">
        <v>48</v>
      </c>
      <c r="Q200" s="35" t="s">
        <v>898</v>
      </c>
      <c r="R200" s="30">
        <v>1</v>
      </c>
      <c r="S200" s="35" t="s">
        <v>899</v>
      </c>
      <c r="T200" s="53" t="s">
        <v>900</v>
      </c>
    </row>
    <row r="201" spans="1:20" ht="30" customHeight="1" x14ac:dyDescent="0.25">
      <c r="A201" s="24">
        <f t="shared" si="7"/>
        <v>181</v>
      </c>
      <c r="B201" s="23" t="s">
        <v>200</v>
      </c>
      <c r="C201" s="24"/>
      <c r="D201" s="24" t="s">
        <v>185</v>
      </c>
      <c r="E201" s="30" t="s">
        <v>672</v>
      </c>
      <c r="F201" s="30" t="s">
        <v>777</v>
      </c>
      <c r="G201" s="33"/>
      <c r="H201" s="43" t="s">
        <v>41</v>
      </c>
      <c r="I201" s="92" t="s">
        <v>901</v>
      </c>
      <c r="J201" s="41" t="s">
        <v>44</v>
      </c>
      <c r="K201" s="41" t="s">
        <v>44</v>
      </c>
      <c r="L201" s="45" t="s">
        <v>902</v>
      </c>
      <c r="M201" s="33">
        <v>33228</v>
      </c>
      <c r="N201" s="40" t="s">
        <v>903</v>
      </c>
      <c r="O201" s="30" t="s">
        <v>47</v>
      </c>
      <c r="P201" s="30" t="s">
        <v>48</v>
      </c>
      <c r="Q201" s="35" t="s">
        <v>904</v>
      </c>
      <c r="R201" s="30">
        <v>2</v>
      </c>
      <c r="S201" s="35" t="s">
        <v>905</v>
      </c>
      <c r="T201" s="53" t="s">
        <v>906</v>
      </c>
    </row>
    <row r="202" spans="1:20" ht="30" customHeight="1" x14ac:dyDescent="0.25">
      <c r="A202" s="24">
        <f t="shared" si="7"/>
        <v>182</v>
      </c>
      <c r="B202" s="23" t="s">
        <v>200</v>
      </c>
      <c r="C202" s="24"/>
      <c r="D202" s="24" t="s">
        <v>185</v>
      </c>
      <c r="E202" s="30" t="s">
        <v>672</v>
      </c>
      <c r="F202" s="30" t="s">
        <v>777</v>
      </c>
      <c r="G202" s="33"/>
      <c r="H202" s="43" t="s">
        <v>41</v>
      </c>
      <c r="I202" s="92" t="s">
        <v>907</v>
      </c>
      <c r="J202" s="117" t="s">
        <v>44</v>
      </c>
      <c r="K202" s="117" t="s">
        <v>44</v>
      </c>
      <c r="L202" s="144" t="s">
        <v>908</v>
      </c>
      <c r="M202" s="33">
        <v>31460</v>
      </c>
      <c r="N202" s="40" t="s">
        <v>909</v>
      </c>
      <c r="O202" s="30" t="s">
        <v>910</v>
      </c>
      <c r="P202" s="30" t="s">
        <v>48</v>
      </c>
      <c r="Q202" s="35" t="s">
        <v>911</v>
      </c>
      <c r="R202" s="30"/>
      <c r="S202" s="35" t="s">
        <v>912</v>
      </c>
      <c r="T202" s="53" t="s">
        <v>913</v>
      </c>
    </row>
    <row r="203" spans="1:20" ht="30" customHeight="1" x14ac:dyDescent="0.25">
      <c r="A203" s="24">
        <f t="shared" si="7"/>
        <v>183</v>
      </c>
      <c r="B203" s="23" t="s">
        <v>200</v>
      </c>
      <c r="C203" s="24"/>
      <c r="D203" s="24" t="s">
        <v>185</v>
      </c>
      <c r="E203" s="30" t="s">
        <v>672</v>
      </c>
      <c r="F203" s="30" t="s">
        <v>777</v>
      </c>
      <c r="G203" s="33"/>
      <c r="H203" s="43" t="s">
        <v>41</v>
      </c>
      <c r="I203" s="92" t="s">
        <v>914</v>
      </c>
      <c r="J203" s="41" t="s">
        <v>44</v>
      </c>
      <c r="K203" s="38">
        <v>24</v>
      </c>
      <c r="L203" s="63" t="s">
        <v>915</v>
      </c>
      <c r="M203" s="46"/>
      <c r="N203" s="48"/>
      <c r="O203" s="49"/>
      <c r="P203" s="46"/>
      <c r="Q203" s="50"/>
      <c r="R203" s="46"/>
      <c r="S203" s="50"/>
      <c r="T203" s="46"/>
    </row>
    <row r="204" spans="1:20" ht="30" customHeight="1" x14ac:dyDescent="0.25">
      <c r="A204" s="24">
        <f t="shared" si="7"/>
        <v>184</v>
      </c>
      <c r="B204" s="23" t="s">
        <v>200</v>
      </c>
      <c r="C204" s="24"/>
      <c r="D204" s="24" t="s">
        <v>185</v>
      </c>
      <c r="E204" s="30" t="s">
        <v>672</v>
      </c>
      <c r="F204" s="30" t="s">
        <v>777</v>
      </c>
      <c r="G204" s="33"/>
      <c r="H204" s="43" t="s">
        <v>41</v>
      </c>
      <c r="I204" s="92" t="s">
        <v>916</v>
      </c>
      <c r="J204" s="41" t="s">
        <v>44</v>
      </c>
      <c r="K204" s="38">
        <v>25</v>
      </c>
      <c r="L204" s="39" t="s">
        <v>29</v>
      </c>
      <c r="M204" s="46"/>
      <c r="N204" s="48"/>
      <c r="O204" s="49"/>
      <c r="P204" s="46"/>
      <c r="Q204" s="50"/>
      <c r="R204" s="46"/>
      <c r="S204" s="50"/>
      <c r="T204" s="46"/>
    </row>
    <row r="205" spans="1:20" ht="30" customHeight="1" x14ac:dyDescent="0.25">
      <c r="A205" s="24">
        <f t="shared" si="7"/>
        <v>185</v>
      </c>
      <c r="B205" s="23" t="s">
        <v>93</v>
      </c>
      <c r="C205" s="24"/>
      <c r="D205" s="24" t="s">
        <v>185</v>
      </c>
      <c r="E205" s="30" t="s">
        <v>672</v>
      </c>
      <c r="F205" s="30" t="s">
        <v>777</v>
      </c>
      <c r="G205" s="33"/>
      <c r="H205" s="37" t="s">
        <v>27</v>
      </c>
      <c r="I205" s="92" t="s">
        <v>917</v>
      </c>
      <c r="J205" s="41" t="s">
        <v>44</v>
      </c>
      <c r="K205" s="41" t="s">
        <v>100</v>
      </c>
      <c r="L205" s="63" t="s">
        <v>918</v>
      </c>
      <c r="M205" s="87">
        <v>35440</v>
      </c>
      <c r="N205" s="130" t="s">
        <v>919</v>
      </c>
      <c r="O205" s="26" t="s">
        <v>47</v>
      </c>
      <c r="P205" s="26" t="s">
        <v>48</v>
      </c>
      <c r="Q205" s="131" t="s">
        <v>920</v>
      </c>
      <c r="R205" s="26"/>
      <c r="S205" s="131" t="s">
        <v>921</v>
      </c>
      <c r="T205" s="132" t="s">
        <v>922</v>
      </c>
    </row>
    <row r="206" spans="1:20" ht="30" customHeight="1" x14ac:dyDescent="0.25">
      <c r="A206" s="24">
        <f t="shared" si="7"/>
        <v>186</v>
      </c>
      <c r="B206" s="23" t="s">
        <v>234</v>
      </c>
      <c r="C206" s="24"/>
      <c r="D206" s="67" t="s">
        <v>185</v>
      </c>
      <c r="E206" s="68" t="s">
        <v>672</v>
      </c>
      <c r="F206" s="68" t="s">
        <v>777</v>
      </c>
      <c r="G206" s="69"/>
      <c r="H206" s="43" t="s">
        <v>41</v>
      </c>
      <c r="I206" s="92" t="s">
        <v>923</v>
      </c>
      <c r="J206" s="41" t="s">
        <v>924</v>
      </c>
      <c r="K206" s="128" t="s">
        <v>925</v>
      </c>
      <c r="L206" s="199" t="s">
        <v>926</v>
      </c>
      <c r="M206" s="55">
        <v>35445</v>
      </c>
      <c r="N206" s="198" t="s">
        <v>927</v>
      </c>
      <c r="O206" s="26" t="s">
        <v>47</v>
      </c>
      <c r="P206" s="30" t="s">
        <v>48</v>
      </c>
      <c r="Q206" s="35" t="s">
        <v>928</v>
      </c>
      <c r="R206" s="30"/>
      <c r="S206" s="35" t="s">
        <v>929</v>
      </c>
      <c r="T206" s="200" t="s">
        <v>930</v>
      </c>
    </row>
    <row r="207" spans="1:20" ht="30" customHeight="1" x14ac:dyDescent="0.25">
      <c r="A207" s="70" t="e">
        <f>REPT(#REF!,#REF!)</f>
        <v>#REF!</v>
      </c>
      <c r="B207" s="71"/>
      <c r="C207" s="72"/>
      <c r="D207" s="72"/>
      <c r="E207" s="180" t="s">
        <v>672</v>
      </c>
      <c r="F207" s="74" t="e">
        <f>REPT(#REF!,#REF!)</f>
        <v>#REF!</v>
      </c>
      <c r="G207" s="75"/>
      <c r="H207" s="75"/>
      <c r="I207" s="76"/>
      <c r="J207" s="138"/>
      <c r="K207" s="138"/>
      <c r="L207" s="201"/>
      <c r="M207" s="202"/>
      <c r="N207" s="203"/>
      <c r="O207" s="204"/>
      <c r="P207" s="205"/>
      <c r="Q207" s="205"/>
      <c r="R207" s="205"/>
      <c r="S207" s="206"/>
      <c r="T207" s="207"/>
    </row>
    <row r="208" spans="1:20" ht="30" customHeight="1" x14ac:dyDescent="0.25">
      <c r="A208" s="24">
        <f>A206+1</f>
        <v>187</v>
      </c>
      <c r="B208" s="23" t="s">
        <v>636</v>
      </c>
      <c r="C208" s="24"/>
      <c r="D208" s="25"/>
      <c r="E208" s="26" t="s">
        <v>672</v>
      </c>
      <c r="F208" s="26" t="s">
        <v>931</v>
      </c>
      <c r="G208" s="87"/>
      <c r="H208" s="37" t="s">
        <v>27</v>
      </c>
      <c r="I208" s="88" t="s">
        <v>932</v>
      </c>
      <c r="J208" s="41" t="s">
        <v>33</v>
      </c>
      <c r="K208" s="41" t="s">
        <v>33</v>
      </c>
      <c r="L208" s="52" t="s">
        <v>933</v>
      </c>
      <c r="M208" s="33">
        <v>30612</v>
      </c>
      <c r="N208" s="40" t="s">
        <v>586</v>
      </c>
      <c r="O208" s="30" t="s">
        <v>587</v>
      </c>
      <c r="P208" s="30" t="s">
        <v>48</v>
      </c>
      <c r="Q208" s="35" t="s">
        <v>934</v>
      </c>
      <c r="R208" s="30">
        <v>2</v>
      </c>
      <c r="S208" s="35" t="s">
        <v>84</v>
      </c>
      <c r="T208" s="53" t="s">
        <v>935</v>
      </c>
    </row>
    <row r="209" spans="1:20" ht="30" customHeight="1" x14ac:dyDescent="0.25">
      <c r="A209" s="24"/>
      <c r="B209" s="23"/>
      <c r="C209" s="24"/>
      <c r="D209" s="24"/>
      <c r="E209" s="30" t="s">
        <v>672</v>
      </c>
      <c r="F209" s="30" t="s">
        <v>931</v>
      </c>
      <c r="G209" s="33"/>
      <c r="H209" s="37"/>
      <c r="I209" s="88" t="s">
        <v>932</v>
      </c>
      <c r="J209" s="41"/>
      <c r="K209" s="98"/>
      <c r="L209" s="63" t="s">
        <v>936</v>
      </c>
      <c r="M209" s="33"/>
      <c r="N209" s="40"/>
      <c r="O209" s="30"/>
      <c r="P209" s="30"/>
      <c r="Q209" s="35"/>
      <c r="R209" s="30"/>
      <c r="S209" s="35"/>
      <c r="T209" s="53"/>
    </row>
    <row r="210" spans="1:20" ht="30" customHeight="1" x14ac:dyDescent="0.25">
      <c r="A210" s="24">
        <f>A208+1</f>
        <v>188</v>
      </c>
      <c r="B210" s="23" t="s">
        <v>636</v>
      </c>
      <c r="C210" s="24"/>
      <c r="D210" s="24"/>
      <c r="E210" s="30" t="s">
        <v>672</v>
      </c>
      <c r="F210" s="30" t="s">
        <v>931</v>
      </c>
      <c r="G210" s="33"/>
      <c r="H210" s="37" t="s">
        <v>27</v>
      </c>
      <c r="I210" s="90" t="s">
        <v>937</v>
      </c>
      <c r="J210" s="41" t="s">
        <v>43</v>
      </c>
      <c r="K210" s="41" t="s">
        <v>43</v>
      </c>
      <c r="L210" s="45" t="s">
        <v>938</v>
      </c>
      <c r="M210" s="33">
        <v>31291</v>
      </c>
      <c r="N210" s="40" t="s">
        <v>939</v>
      </c>
      <c r="O210" s="30" t="s">
        <v>940</v>
      </c>
      <c r="P210" s="30" t="s">
        <v>48</v>
      </c>
      <c r="Q210" s="35" t="s">
        <v>941</v>
      </c>
      <c r="R210" s="30">
        <v>3</v>
      </c>
      <c r="S210" s="35" t="s">
        <v>218</v>
      </c>
      <c r="T210" s="53" t="s">
        <v>942</v>
      </c>
    </row>
    <row r="211" spans="1:20" ht="30" customHeight="1" x14ac:dyDescent="0.25">
      <c r="A211" s="24">
        <f t="shared" ref="A211:A236" si="8">A210+1</f>
        <v>189</v>
      </c>
      <c r="B211" s="23" t="s">
        <v>636</v>
      </c>
      <c r="C211" s="24" t="s">
        <v>31</v>
      </c>
      <c r="D211" s="24"/>
      <c r="E211" s="30" t="s">
        <v>672</v>
      </c>
      <c r="F211" s="30" t="s">
        <v>931</v>
      </c>
      <c r="G211" s="33"/>
      <c r="H211" s="43" t="s">
        <v>41</v>
      </c>
      <c r="I211" s="90" t="s">
        <v>943</v>
      </c>
      <c r="J211" s="41" t="s">
        <v>43</v>
      </c>
      <c r="K211" s="117" t="s">
        <v>68</v>
      </c>
      <c r="L211" s="143" t="s">
        <v>944</v>
      </c>
      <c r="M211" s="33">
        <v>32868</v>
      </c>
      <c r="N211" s="40" t="s">
        <v>945</v>
      </c>
      <c r="O211" s="30" t="s">
        <v>946</v>
      </c>
      <c r="P211" s="30" t="s">
        <v>48</v>
      </c>
      <c r="Q211" s="35" t="s">
        <v>947</v>
      </c>
      <c r="R211" s="30"/>
      <c r="S211" s="35" t="s">
        <v>948</v>
      </c>
      <c r="T211" s="53" t="s">
        <v>949</v>
      </c>
    </row>
    <row r="212" spans="1:20" ht="30" customHeight="1" x14ac:dyDescent="0.25">
      <c r="A212" s="24">
        <f t="shared" si="8"/>
        <v>190</v>
      </c>
      <c r="B212" s="23" t="s">
        <v>636</v>
      </c>
      <c r="C212" s="24"/>
      <c r="D212" s="24"/>
      <c r="E212" s="30" t="s">
        <v>672</v>
      </c>
      <c r="F212" s="30" t="s">
        <v>931</v>
      </c>
      <c r="G212" s="33"/>
      <c r="H212" s="37" t="s">
        <v>27</v>
      </c>
      <c r="I212" s="90" t="s">
        <v>950</v>
      </c>
      <c r="J212" s="54" t="s">
        <v>43</v>
      </c>
      <c r="K212" s="146" t="s">
        <v>43</v>
      </c>
      <c r="L212" s="39" t="s">
        <v>951</v>
      </c>
      <c r="M212" s="33">
        <v>29416</v>
      </c>
      <c r="N212" s="48"/>
      <c r="O212" s="49"/>
      <c r="P212" s="30"/>
      <c r="Q212" s="35"/>
      <c r="R212" s="30"/>
      <c r="S212" s="35"/>
      <c r="T212" s="24"/>
    </row>
    <row r="213" spans="1:20" ht="30" customHeight="1" x14ac:dyDescent="0.25">
      <c r="A213" s="24">
        <f t="shared" si="8"/>
        <v>191</v>
      </c>
      <c r="B213" s="23" t="s">
        <v>636</v>
      </c>
      <c r="C213" s="24" t="s">
        <v>313</v>
      </c>
      <c r="D213" s="24"/>
      <c r="E213" s="30" t="s">
        <v>672</v>
      </c>
      <c r="F213" s="30" t="s">
        <v>931</v>
      </c>
      <c r="G213" s="33"/>
      <c r="H213" s="37" t="s">
        <v>27</v>
      </c>
      <c r="I213" s="90" t="s">
        <v>952</v>
      </c>
      <c r="J213" s="117" t="s">
        <v>43</v>
      </c>
      <c r="K213" s="41" t="s">
        <v>68</v>
      </c>
      <c r="L213" s="65" t="s">
        <v>953</v>
      </c>
      <c r="M213" s="33"/>
      <c r="N213" s="40"/>
      <c r="O213" s="30"/>
      <c r="P213" s="30"/>
      <c r="Q213" s="35"/>
      <c r="R213" s="30"/>
      <c r="S213" s="35"/>
      <c r="T213" s="36"/>
    </row>
    <row r="214" spans="1:20" ht="30" customHeight="1" x14ac:dyDescent="0.25">
      <c r="A214" s="24">
        <f t="shared" si="8"/>
        <v>192</v>
      </c>
      <c r="B214" s="23" t="s">
        <v>636</v>
      </c>
      <c r="C214" s="24"/>
      <c r="D214" s="24"/>
      <c r="E214" s="30" t="s">
        <v>672</v>
      </c>
      <c r="F214" s="30" t="s">
        <v>931</v>
      </c>
      <c r="G214" s="33"/>
      <c r="H214" s="43" t="s">
        <v>41</v>
      </c>
      <c r="I214" s="44" t="s">
        <v>954</v>
      </c>
      <c r="J214" s="41" t="s">
        <v>68</v>
      </c>
      <c r="K214" s="41" t="s">
        <v>68</v>
      </c>
      <c r="L214" s="45" t="s">
        <v>955</v>
      </c>
      <c r="M214" s="55">
        <v>28493</v>
      </c>
      <c r="N214" s="40" t="s">
        <v>153</v>
      </c>
      <c r="O214" s="30" t="s">
        <v>47</v>
      </c>
      <c r="P214" s="30" t="s">
        <v>48</v>
      </c>
      <c r="Q214" s="35" t="s">
        <v>956</v>
      </c>
      <c r="R214" s="30">
        <v>1</v>
      </c>
      <c r="S214" s="35" t="s">
        <v>957</v>
      </c>
      <c r="T214" s="53" t="s">
        <v>958</v>
      </c>
    </row>
    <row r="215" spans="1:20" ht="30" customHeight="1" x14ac:dyDescent="0.25">
      <c r="A215" s="24">
        <f t="shared" si="8"/>
        <v>193</v>
      </c>
      <c r="B215" s="23" t="s">
        <v>636</v>
      </c>
      <c r="C215" s="24"/>
      <c r="D215" s="24"/>
      <c r="E215" s="30" t="s">
        <v>672</v>
      </c>
      <c r="F215" s="30" t="s">
        <v>931</v>
      </c>
      <c r="G215" s="33"/>
      <c r="H215" s="43" t="s">
        <v>41</v>
      </c>
      <c r="I215" s="91" t="s">
        <v>959</v>
      </c>
      <c r="J215" s="41" t="s">
        <v>68</v>
      </c>
      <c r="K215" s="41" t="s">
        <v>100</v>
      </c>
      <c r="L215" s="199" t="s">
        <v>960</v>
      </c>
      <c r="M215" s="33">
        <v>34849</v>
      </c>
      <c r="N215" s="40" t="s">
        <v>961</v>
      </c>
      <c r="O215" s="30" t="s">
        <v>47</v>
      </c>
      <c r="P215" s="30" t="s">
        <v>37</v>
      </c>
      <c r="Q215" s="35" t="s">
        <v>962</v>
      </c>
      <c r="R215" s="46"/>
      <c r="S215" s="35" t="s">
        <v>963</v>
      </c>
      <c r="T215" s="47" t="s">
        <v>964</v>
      </c>
    </row>
    <row r="216" spans="1:20" ht="30" customHeight="1" x14ac:dyDescent="0.25">
      <c r="A216" s="24">
        <f t="shared" si="8"/>
        <v>194</v>
      </c>
      <c r="B216" s="23" t="s">
        <v>636</v>
      </c>
      <c r="C216" s="24" t="s">
        <v>31</v>
      </c>
      <c r="D216" s="24" t="s">
        <v>185</v>
      </c>
      <c r="E216" s="30" t="s">
        <v>672</v>
      </c>
      <c r="F216" s="30" t="s">
        <v>931</v>
      </c>
      <c r="G216" s="33"/>
      <c r="H216" s="43" t="s">
        <v>41</v>
      </c>
      <c r="I216" s="96" t="s">
        <v>965</v>
      </c>
      <c r="J216" s="41" t="s">
        <v>44</v>
      </c>
      <c r="K216" s="41" t="s">
        <v>68</v>
      </c>
      <c r="L216" s="208" t="s">
        <v>966</v>
      </c>
      <c r="M216" s="33">
        <v>29589</v>
      </c>
      <c r="N216" s="40" t="s">
        <v>967</v>
      </c>
      <c r="O216" s="30" t="s">
        <v>968</v>
      </c>
      <c r="P216" s="30" t="s">
        <v>48</v>
      </c>
      <c r="Q216" s="35" t="s">
        <v>969</v>
      </c>
      <c r="R216" s="30">
        <v>1</v>
      </c>
      <c r="S216" s="35" t="s">
        <v>970</v>
      </c>
      <c r="T216" s="53" t="s">
        <v>971</v>
      </c>
    </row>
    <row r="217" spans="1:20" ht="30" customHeight="1" x14ac:dyDescent="0.25">
      <c r="A217" s="24">
        <f t="shared" si="8"/>
        <v>195</v>
      </c>
      <c r="B217" s="23" t="s">
        <v>636</v>
      </c>
      <c r="C217" s="24"/>
      <c r="D217" s="24" t="s">
        <v>185</v>
      </c>
      <c r="E217" s="30" t="s">
        <v>672</v>
      </c>
      <c r="F217" s="30" t="s">
        <v>931</v>
      </c>
      <c r="G217" s="33"/>
      <c r="H217" s="43" t="s">
        <v>41</v>
      </c>
      <c r="I217" s="92" t="s">
        <v>972</v>
      </c>
      <c r="J217" s="41" t="s">
        <v>44</v>
      </c>
      <c r="K217" s="38">
        <v>26</v>
      </c>
      <c r="L217" s="39" t="s">
        <v>29</v>
      </c>
      <c r="M217" s="46"/>
      <c r="N217" s="48"/>
      <c r="O217" s="49"/>
      <c r="P217" s="46"/>
      <c r="Q217" s="50"/>
      <c r="R217" s="46"/>
      <c r="S217" s="50"/>
      <c r="T217" s="46"/>
    </row>
    <row r="218" spans="1:20" ht="30" customHeight="1" x14ac:dyDescent="0.25">
      <c r="A218" s="24">
        <f t="shared" si="8"/>
        <v>196</v>
      </c>
      <c r="B218" s="23" t="s">
        <v>636</v>
      </c>
      <c r="C218" s="24"/>
      <c r="D218" s="24" t="s">
        <v>185</v>
      </c>
      <c r="E218" s="30" t="s">
        <v>672</v>
      </c>
      <c r="F218" s="30" t="s">
        <v>931</v>
      </c>
      <c r="G218" s="33"/>
      <c r="H218" s="43" t="s">
        <v>41</v>
      </c>
      <c r="I218" s="92" t="s">
        <v>973</v>
      </c>
      <c r="J218" s="41" t="s">
        <v>44</v>
      </c>
      <c r="K218" s="41" t="s">
        <v>44</v>
      </c>
      <c r="L218" s="52" t="s">
        <v>974</v>
      </c>
      <c r="M218" s="33">
        <v>30712</v>
      </c>
      <c r="N218" s="40" t="s">
        <v>975</v>
      </c>
      <c r="O218" s="30" t="s">
        <v>47</v>
      </c>
      <c r="P218" s="30" t="s">
        <v>48</v>
      </c>
      <c r="Q218" s="35" t="s">
        <v>976</v>
      </c>
      <c r="R218" s="30">
        <v>1</v>
      </c>
      <c r="S218" s="35" t="s">
        <v>977</v>
      </c>
      <c r="T218" s="24" t="s">
        <v>978</v>
      </c>
    </row>
    <row r="219" spans="1:20" ht="30" customHeight="1" x14ac:dyDescent="0.25">
      <c r="A219" s="24">
        <f t="shared" si="8"/>
        <v>197</v>
      </c>
      <c r="B219" s="23" t="s">
        <v>636</v>
      </c>
      <c r="C219" s="24"/>
      <c r="D219" s="24" t="s">
        <v>185</v>
      </c>
      <c r="E219" s="30" t="s">
        <v>672</v>
      </c>
      <c r="F219" s="30" t="s">
        <v>931</v>
      </c>
      <c r="G219" s="33"/>
      <c r="H219" s="43" t="s">
        <v>41</v>
      </c>
      <c r="I219" s="92" t="s">
        <v>979</v>
      </c>
      <c r="J219" s="41" t="s">
        <v>44</v>
      </c>
      <c r="K219" s="41" t="s">
        <v>44</v>
      </c>
      <c r="L219" s="56" t="s">
        <v>980</v>
      </c>
      <c r="M219" s="33">
        <v>34936</v>
      </c>
      <c r="N219" s="40" t="s">
        <v>981</v>
      </c>
      <c r="O219" s="30" t="s">
        <v>47</v>
      </c>
      <c r="P219" s="30" t="s">
        <v>37</v>
      </c>
      <c r="Q219" s="35" t="s">
        <v>982</v>
      </c>
      <c r="R219" s="30"/>
      <c r="S219" s="35" t="s">
        <v>983</v>
      </c>
      <c r="T219" s="53" t="s">
        <v>984</v>
      </c>
    </row>
    <row r="220" spans="1:20" ht="30" customHeight="1" x14ac:dyDescent="0.25">
      <c r="A220" s="24">
        <f t="shared" si="8"/>
        <v>198</v>
      </c>
      <c r="B220" s="23" t="s">
        <v>636</v>
      </c>
      <c r="C220" s="24"/>
      <c r="D220" s="24"/>
      <c r="E220" s="30" t="s">
        <v>672</v>
      </c>
      <c r="F220" s="30" t="s">
        <v>931</v>
      </c>
      <c r="G220" s="33"/>
      <c r="H220" s="43" t="s">
        <v>41</v>
      </c>
      <c r="I220" s="91" t="s">
        <v>985</v>
      </c>
      <c r="J220" s="128" t="s">
        <v>68</v>
      </c>
      <c r="K220" s="128" t="s">
        <v>68</v>
      </c>
      <c r="L220" s="209" t="s">
        <v>986</v>
      </c>
      <c r="M220" s="33">
        <v>33384</v>
      </c>
      <c r="N220" s="40" t="s">
        <v>987</v>
      </c>
      <c r="O220" s="30" t="s">
        <v>47</v>
      </c>
      <c r="P220" s="30" t="s">
        <v>37</v>
      </c>
      <c r="Q220" s="35" t="s">
        <v>988</v>
      </c>
      <c r="R220" s="30"/>
      <c r="S220" s="35" t="s">
        <v>989</v>
      </c>
      <c r="T220" s="53" t="s">
        <v>990</v>
      </c>
    </row>
    <row r="221" spans="1:20" ht="30" customHeight="1" x14ac:dyDescent="0.25">
      <c r="A221" s="24">
        <f t="shared" si="8"/>
        <v>199</v>
      </c>
      <c r="B221" s="23" t="s">
        <v>636</v>
      </c>
      <c r="C221" s="24" t="s">
        <v>31</v>
      </c>
      <c r="D221" s="24" t="s">
        <v>185</v>
      </c>
      <c r="E221" s="30" t="s">
        <v>672</v>
      </c>
      <c r="F221" s="30" t="s">
        <v>931</v>
      </c>
      <c r="G221" s="33"/>
      <c r="H221" s="43" t="s">
        <v>41</v>
      </c>
      <c r="I221" s="96" t="s">
        <v>991</v>
      </c>
      <c r="J221" s="41" t="s">
        <v>44</v>
      </c>
      <c r="K221" s="38">
        <v>27</v>
      </c>
      <c r="L221" s="39" t="s">
        <v>29</v>
      </c>
      <c r="M221" s="33"/>
      <c r="N221" s="40"/>
      <c r="O221" s="30"/>
      <c r="P221" s="30"/>
      <c r="Q221" s="35"/>
      <c r="R221" s="46"/>
      <c r="S221" s="35"/>
      <c r="T221" s="36"/>
    </row>
    <row r="222" spans="1:20" ht="30" customHeight="1" x14ac:dyDescent="0.25">
      <c r="A222" s="24">
        <f t="shared" si="8"/>
        <v>200</v>
      </c>
      <c r="B222" s="23" t="s">
        <v>636</v>
      </c>
      <c r="C222" s="24"/>
      <c r="D222" s="24" t="s">
        <v>185</v>
      </c>
      <c r="E222" s="30" t="s">
        <v>672</v>
      </c>
      <c r="F222" s="30" t="s">
        <v>931</v>
      </c>
      <c r="G222" s="33"/>
      <c r="H222" s="43" t="s">
        <v>41</v>
      </c>
      <c r="I222" s="92" t="s">
        <v>992</v>
      </c>
      <c r="J222" s="41" t="s">
        <v>44</v>
      </c>
      <c r="K222" s="41" t="s">
        <v>100</v>
      </c>
      <c r="L222" s="42" t="s">
        <v>993</v>
      </c>
      <c r="M222" s="33">
        <v>34498</v>
      </c>
      <c r="N222" s="40" t="s">
        <v>994</v>
      </c>
      <c r="O222" s="30" t="s">
        <v>47</v>
      </c>
      <c r="P222" s="30" t="s">
        <v>37</v>
      </c>
      <c r="Q222" s="210" t="s">
        <v>995</v>
      </c>
      <c r="R222" s="211"/>
      <c r="S222" s="210" t="s">
        <v>427</v>
      </c>
      <c r="T222" s="53" t="s">
        <v>996</v>
      </c>
    </row>
    <row r="223" spans="1:20" ht="30" customHeight="1" x14ac:dyDescent="0.25">
      <c r="A223" s="24">
        <f t="shared" si="8"/>
        <v>201</v>
      </c>
      <c r="B223" s="23" t="s">
        <v>636</v>
      </c>
      <c r="C223" s="24"/>
      <c r="D223" s="24" t="s">
        <v>185</v>
      </c>
      <c r="E223" s="30" t="s">
        <v>672</v>
      </c>
      <c r="F223" s="30" t="s">
        <v>931</v>
      </c>
      <c r="G223" s="33"/>
      <c r="H223" s="43" t="s">
        <v>41</v>
      </c>
      <c r="I223" s="92" t="s">
        <v>997</v>
      </c>
      <c r="J223" s="41" t="s">
        <v>44</v>
      </c>
      <c r="K223" s="41" t="s">
        <v>100</v>
      </c>
      <c r="L223" s="199" t="s">
        <v>998</v>
      </c>
      <c r="M223" s="33">
        <v>36114</v>
      </c>
      <c r="N223" s="40" t="s">
        <v>999</v>
      </c>
      <c r="O223" s="30" t="s">
        <v>47</v>
      </c>
      <c r="P223" s="30" t="s">
        <v>37</v>
      </c>
      <c r="Q223" s="210" t="s">
        <v>1000</v>
      </c>
      <c r="R223" s="211"/>
      <c r="S223" s="212" t="s">
        <v>1001</v>
      </c>
      <c r="T223" s="47" t="s">
        <v>1002</v>
      </c>
    </row>
    <row r="224" spans="1:20" ht="30" customHeight="1" x14ac:dyDescent="0.25">
      <c r="A224" s="24">
        <f t="shared" si="8"/>
        <v>202</v>
      </c>
      <c r="B224" s="23" t="s">
        <v>636</v>
      </c>
      <c r="C224" s="24"/>
      <c r="D224" s="24" t="s">
        <v>185</v>
      </c>
      <c r="E224" s="30" t="s">
        <v>672</v>
      </c>
      <c r="F224" s="30" t="s">
        <v>931</v>
      </c>
      <c r="G224" s="33"/>
      <c r="H224" s="43" t="s">
        <v>41</v>
      </c>
      <c r="I224" s="92" t="s">
        <v>1003</v>
      </c>
      <c r="J224" s="41" t="s">
        <v>44</v>
      </c>
      <c r="K224" s="41" t="s">
        <v>44</v>
      </c>
      <c r="L224" s="56" t="s">
        <v>1004</v>
      </c>
      <c r="M224" s="33">
        <v>34480</v>
      </c>
      <c r="N224" s="40" t="s">
        <v>90</v>
      </c>
      <c r="O224" s="30" t="s">
        <v>47</v>
      </c>
      <c r="P224" s="30" t="s">
        <v>48</v>
      </c>
      <c r="Q224" s="35" t="s">
        <v>1005</v>
      </c>
      <c r="R224" s="30"/>
      <c r="S224" s="35" t="s">
        <v>84</v>
      </c>
      <c r="T224" s="53" t="s">
        <v>1006</v>
      </c>
    </row>
    <row r="225" spans="1:20" ht="30" customHeight="1" x14ac:dyDescent="0.25">
      <c r="A225" s="24">
        <f t="shared" si="8"/>
        <v>203</v>
      </c>
      <c r="B225" s="23" t="s">
        <v>636</v>
      </c>
      <c r="C225" s="24"/>
      <c r="D225" s="145"/>
      <c r="E225" s="30" t="s">
        <v>672</v>
      </c>
      <c r="F225" s="30" t="s">
        <v>931</v>
      </c>
      <c r="G225" s="33"/>
      <c r="H225" s="43" t="s">
        <v>41</v>
      </c>
      <c r="I225" s="91" t="s">
        <v>1007</v>
      </c>
      <c r="J225" s="41" t="s">
        <v>68</v>
      </c>
      <c r="K225" s="41" t="s">
        <v>44</v>
      </c>
      <c r="L225" s="56" t="s">
        <v>1008</v>
      </c>
      <c r="M225" s="33">
        <v>34845</v>
      </c>
      <c r="N225" s="40" t="s">
        <v>1009</v>
      </c>
      <c r="O225" s="30" t="s">
        <v>47</v>
      </c>
      <c r="P225" s="30" t="s">
        <v>37</v>
      </c>
      <c r="Q225" s="35" t="s">
        <v>1010</v>
      </c>
      <c r="R225" s="30"/>
      <c r="S225" s="35" t="s">
        <v>1011</v>
      </c>
      <c r="T225" s="53" t="s">
        <v>1012</v>
      </c>
    </row>
    <row r="226" spans="1:20" ht="30" customHeight="1" x14ac:dyDescent="0.25">
      <c r="A226" s="24">
        <f t="shared" si="8"/>
        <v>204</v>
      </c>
      <c r="B226" s="23" t="s">
        <v>636</v>
      </c>
      <c r="C226" s="24" t="s">
        <v>31</v>
      </c>
      <c r="D226" s="24" t="s">
        <v>185</v>
      </c>
      <c r="E226" s="30" t="s">
        <v>672</v>
      </c>
      <c r="F226" s="30" t="s">
        <v>931</v>
      </c>
      <c r="G226" s="33"/>
      <c r="H226" s="43" t="s">
        <v>41</v>
      </c>
      <c r="I226" s="96" t="s">
        <v>1013</v>
      </c>
      <c r="J226" s="41" t="s">
        <v>44</v>
      </c>
      <c r="K226" s="38">
        <v>28</v>
      </c>
      <c r="L226" s="39" t="s">
        <v>29</v>
      </c>
      <c r="M226" s="33"/>
      <c r="N226" s="40"/>
      <c r="O226" s="30"/>
      <c r="P226" s="30"/>
      <c r="Q226" s="35"/>
      <c r="R226" s="30"/>
      <c r="S226" s="35"/>
      <c r="T226" s="24"/>
    </row>
    <row r="227" spans="1:20" ht="30" customHeight="1" x14ac:dyDescent="0.25">
      <c r="A227" s="24">
        <f t="shared" si="8"/>
        <v>205</v>
      </c>
      <c r="B227" s="23" t="s">
        <v>636</v>
      </c>
      <c r="C227" s="24"/>
      <c r="D227" s="24" t="s">
        <v>185</v>
      </c>
      <c r="E227" s="30" t="s">
        <v>672</v>
      </c>
      <c r="F227" s="30" t="s">
        <v>931</v>
      </c>
      <c r="G227" s="33"/>
      <c r="H227" s="43" t="s">
        <v>41</v>
      </c>
      <c r="I227" s="92" t="s">
        <v>1014</v>
      </c>
      <c r="J227" s="41" t="s">
        <v>44</v>
      </c>
      <c r="K227" s="41" t="s">
        <v>44</v>
      </c>
      <c r="L227" s="56" t="s">
        <v>1015</v>
      </c>
      <c r="M227" s="33">
        <v>35234</v>
      </c>
      <c r="N227" s="40" t="s">
        <v>1016</v>
      </c>
      <c r="O227" s="30" t="s">
        <v>47</v>
      </c>
      <c r="P227" s="30" t="s">
        <v>48</v>
      </c>
      <c r="Q227" s="35" t="s">
        <v>1017</v>
      </c>
      <c r="R227" s="30">
        <v>1</v>
      </c>
      <c r="S227" s="35" t="s">
        <v>1018</v>
      </c>
      <c r="T227" s="24" t="s">
        <v>1019</v>
      </c>
    </row>
    <row r="228" spans="1:20" ht="30" customHeight="1" x14ac:dyDescent="0.25">
      <c r="A228" s="24">
        <f t="shared" si="8"/>
        <v>206</v>
      </c>
      <c r="B228" s="23" t="s">
        <v>636</v>
      </c>
      <c r="C228" s="24"/>
      <c r="D228" s="24" t="s">
        <v>185</v>
      </c>
      <c r="E228" s="30" t="s">
        <v>672</v>
      </c>
      <c r="F228" s="30" t="s">
        <v>931</v>
      </c>
      <c r="G228" s="33"/>
      <c r="H228" s="43" t="s">
        <v>41</v>
      </c>
      <c r="I228" s="92" t="s">
        <v>1020</v>
      </c>
      <c r="J228" s="41" t="s">
        <v>44</v>
      </c>
      <c r="K228" s="41" t="s">
        <v>100</v>
      </c>
      <c r="L228" s="42" t="s">
        <v>1021</v>
      </c>
      <c r="M228" s="33">
        <v>35597</v>
      </c>
      <c r="N228" s="40" t="s">
        <v>1022</v>
      </c>
      <c r="O228" s="30" t="s">
        <v>47</v>
      </c>
      <c r="P228" s="30" t="s">
        <v>37</v>
      </c>
      <c r="Q228" s="35" t="s">
        <v>1023</v>
      </c>
      <c r="R228" s="30"/>
      <c r="S228" s="35" t="s">
        <v>1024</v>
      </c>
      <c r="T228" s="24" t="s">
        <v>1025</v>
      </c>
    </row>
    <row r="229" spans="1:20" ht="30" customHeight="1" x14ac:dyDescent="0.25">
      <c r="A229" s="24">
        <f t="shared" si="8"/>
        <v>207</v>
      </c>
      <c r="B229" s="23" t="s">
        <v>636</v>
      </c>
      <c r="C229" s="24"/>
      <c r="D229" s="24" t="s">
        <v>185</v>
      </c>
      <c r="E229" s="30" t="s">
        <v>672</v>
      </c>
      <c r="F229" s="30" t="s">
        <v>931</v>
      </c>
      <c r="G229" s="33"/>
      <c r="H229" s="43" t="s">
        <v>41</v>
      </c>
      <c r="I229" s="92" t="s">
        <v>1026</v>
      </c>
      <c r="J229" s="41" t="s">
        <v>44</v>
      </c>
      <c r="K229" s="38">
        <v>29</v>
      </c>
      <c r="L229" s="39" t="s">
        <v>29</v>
      </c>
      <c r="M229" s="33"/>
      <c r="N229" s="40"/>
      <c r="O229" s="30"/>
      <c r="P229" s="30"/>
      <c r="Q229" s="35"/>
      <c r="R229" s="30"/>
      <c r="S229" s="35"/>
      <c r="T229" s="24"/>
    </row>
    <row r="230" spans="1:20" ht="30" customHeight="1" x14ac:dyDescent="0.25">
      <c r="A230" s="24">
        <f t="shared" si="8"/>
        <v>208</v>
      </c>
      <c r="B230" s="23" t="s">
        <v>200</v>
      </c>
      <c r="C230" s="24"/>
      <c r="D230" s="24"/>
      <c r="E230" s="30" t="s">
        <v>672</v>
      </c>
      <c r="F230" s="30" t="s">
        <v>931</v>
      </c>
      <c r="G230" s="33"/>
      <c r="H230" s="43" t="s">
        <v>41</v>
      </c>
      <c r="I230" s="91" t="s">
        <v>1027</v>
      </c>
      <c r="J230" s="41" t="s">
        <v>68</v>
      </c>
      <c r="K230" s="117" t="s">
        <v>68</v>
      </c>
      <c r="L230" s="45" t="s">
        <v>1028</v>
      </c>
      <c r="M230" s="33">
        <v>32646</v>
      </c>
      <c r="N230" s="40" t="s">
        <v>1029</v>
      </c>
      <c r="O230" s="30" t="s">
        <v>1030</v>
      </c>
      <c r="P230" s="30" t="s">
        <v>48</v>
      </c>
      <c r="Q230" s="35" t="s">
        <v>1031</v>
      </c>
      <c r="R230" s="30">
        <v>2</v>
      </c>
      <c r="S230" s="35" t="s">
        <v>1032</v>
      </c>
      <c r="T230" s="24" t="s">
        <v>1033</v>
      </c>
    </row>
    <row r="231" spans="1:20" ht="30" customHeight="1" x14ac:dyDescent="0.25">
      <c r="A231" s="24">
        <f t="shared" si="8"/>
        <v>209</v>
      </c>
      <c r="B231" s="23" t="s">
        <v>200</v>
      </c>
      <c r="C231" s="24"/>
      <c r="D231" s="24" t="s">
        <v>185</v>
      </c>
      <c r="E231" s="30" t="s">
        <v>672</v>
      </c>
      <c r="F231" s="30" t="s">
        <v>931</v>
      </c>
      <c r="G231" s="33"/>
      <c r="H231" s="43" t="s">
        <v>41</v>
      </c>
      <c r="I231" s="92" t="s">
        <v>1034</v>
      </c>
      <c r="J231" s="41" t="s">
        <v>44</v>
      </c>
      <c r="K231" s="41" t="s">
        <v>100</v>
      </c>
      <c r="L231" s="45" t="s">
        <v>1035</v>
      </c>
      <c r="M231" s="33">
        <v>33838</v>
      </c>
      <c r="N231" s="40" t="s">
        <v>1036</v>
      </c>
      <c r="O231" s="30" t="s">
        <v>47</v>
      </c>
      <c r="P231" s="30" t="s">
        <v>48</v>
      </c>
      <c r="Q231" s="35" t="s">
        <v>1037</v>
      </c>
      <c r="R231" s="30">
        <v>1</v>
      </c>
      <c r="S231" s="35" t="s">
        <v>1038</v>
      </c>
      <c r="T231" s="24" t="s">
        <v>1039</v>
      </c>
    </row>
    <row r="232" spans="1:20" ht="30" customHeight="1" x14ac:dyDescent="0.25">
      <c r="A232" s="24">
        <f t="shared" si="8"/>
        <v>210</v>
      </c>
      <c r="B232" s="23" t="s">
        <v>200</v>
      </c>
      <c r="C232" s="24"/>
      <c r="D232" s="24" t="s">
        <v>185</v>
      </c>
      <c r="E232" s="30" t="s">
        <v>672</v>
      </c>
      <c r="F232" s="30" t="s">
        <v>931</v>
      </c>
      <c r="G232" s="33"/>
      <c r="H232" s="43" t="s">
        <v>41</v>
      </c>
      <c r="I232" s="92" t="s">
        <v>1040</v>
      </c>
      <c r="J232" s="41" t="s">
        <v>44</v>
      </c>
      <c r="K232" s="41" t="s">
        <v>44</v>
      </c>
      <c r="L232" s="52" t="s">
        <v>1041</v>
      </c>
      <c r="M232" s="33">
        <v>33214</v>
      </c>
      <c r="N232" s="40" t="s">
        <v>451</v>
      </c>
      <c r="O232" s="30" t="s">
        <v>47</v>
      </c>
      <c r="P232" s="30" t="s">
        <v>48</v>
      </c>
      <c r="Q232" s="35" t="s">
        <v>1042</v>
      </c>
      <c r="R232" s="30"/>
      <c r="S232" s="35" t="s">
        <v>1043</v>
      </c>
      <c r="T232" s="53" t="s">
        <v>1044</v>
      </c>
    </row>
    <row r="233" spans="1:20" ht="30" customHeight="1" x14ac:dyDescent="0.25">
      <c r="A233" s="24">
        <f t="shared" si="8"/>
        <v>211</v>
      </c>
      <c r="B233" s="23" t="s">
        <v>200</v>
      </c>
      <c r="C233" s="24"/>
      <c r="D233" s="24" t="s">
        <v>185</v>
      </c>
      <c r="E233" s="30" t="s">
        <v>672</v>
      </c>
      <c r="F233" s="30" t="s">
        <v>931</v>
      </c>
      <c r="G233" s="33"/>
      <c r="H233" s="43" t="s">
        <v>41</v>
      </c>
      <c r="I233" s="92" t="s">
        <v>1045</v>
      </c>
      <c r="J233" s="41" t="s">
        <v>44</v>
      </c>
      <c r="K233" s="38">
        <v>30</v>
      </c>
      <c r="L233" s="39" t="s">
        <v>29</v>
      </c>
      <c r="M233" s="46"/>
      <c r="N233" s="48"/>
      <c r="O233" s="49"/>
      <c r="P233" s="46"/>
      <c r="Q233" s="50"/>
      <c r="R233" s="46"/>
      <c r="S233" s="50"/>
      <c r="T233" s="46"/>
    </row>
    <row r="234" spans="1:20" ht="30" customHeight="1" x14ac:dyDescent="0.25">
      <c r="A234" s="24">
        <f t="shared" si="8"/>
        <v>212</v>
      </c>
      <c r="B234" s="23" t="s">
        <v>200</v>
      </c>
      <c r="C234" s="24"/>
      <c r="D234" s="24" t="s">
        <v>185</v>
      </c>
      <c r="E234" s="30" t="s">
        <v>672</v>
      </c>
      <c r="F234" s="30" t="s">
        <v>931</v>
      </c>
      <c r="G234" s="33"/>
      <c r="H234" s="43" t="s">
        <v>41</v>
      </c>
      <c r="I234" s="92" t="s">
        <v>1046</v>
      </c>
      <c r="J234" s="41" t="s">
        <v>44</v>
      </c>
      <c r="K234" s="41" t="s">
        <v>44</v>
      </c>
      <c r="L234" s="56" t="s">
        <v>1047</v>
      </c>
      <c r="M234" s="33">
        <v>34913</v>
      </c>
      <c r="N234" s="40" t="s">
        <v>1048</v>
      </c>
      <c r="O234" s="30" t="s">
        <v>47</v>
      </c>
      <c r="P234" s="30" t="s">
        <v>37</v>
      </c>
      <c r="Q234" s="35" t="s">
        <v>1049</v>
      </c>
      <c r="R234" s="30"/>
      <c r="S234" s="35" t="s">
        <v>84</v>
      </c>
      <c r="T234" s="24" t="s">
        <v>1050</v>
      </c>
    </row>
    <row r="235" spans="1:20" ht="30" customHeight="1" x14ac:dyDescent="0.25">
      <c r="A235" s="24">
        <f t="shared" si="8"/>
        <v>213</v>
      </c>
      <c r="B235" s="23" t="s">
        <v>93</v>
      </c>
      <c r="C235" s="24"/>
      <c r="D235" s="24" t="s">
        <v>185</v>
      </c>
      <c r="E235" s="30" t="s">
        <v>672</v>
      </c>
      <c r="F235" s="30" t="s">
        <v>931</v>
      </c>
      <c r="G235" s="33"/>
      <c r="H235" s="37" t="s">
        <v>27</v>
      </c>
      <c r="I235" s="92" t="s">
        <v>1051</v>
      </c>
      <c r="J235" s="41" t="s">
        <v>44</v>
      </c>
      <c r="K235" s="38">
        <v>30</v>
      </c>
      <c r="L235" s="39" t="s">
        <v>29</v>
      </c>
      <c r="M235" s="33"/>
      <c r="N235" s="40"/>
      <c r="O235" s="30"/>
      <c r="P235" s="30"/>
      <c r="Q235" s="35"/>
      <c r="R235" s="30"/>
      <c r="S235" s="212"/>
      <c r="T235" s="24"/>
    </row>
    <row r="236" spans="1:20" ht="30" customHeight="1" x14ac:dyDescent="0.25">
      <c r="A236" s="24">
        <f t="shared" si="8"/>
        <v>214</v>
      </c>
      <c r="B236" s="23" t="s">
        <v>234</v>
      </c>
      <c r="C236" s="24"/>
      <c r="D236" s="67" t="s">
        <v>185</v>
      </c>
      <c r="E236" s="68" t="s">
        <v>672</v>
      </c>
      <c r="F236" s="68" t="s">
        <v>931</v>
      </c>
      <c r="G236" s="69"/>
      <c r="H236" s="43" t="s">
        <v>41</v>
      </c>
      <c r="I236" s="92" t="s">
        <v>1052</v>
      </c>
      <c r="J236" s="41" t="s">
        <v>924</v>
      </c>
      <c r="K236" s="38">
        <v>31</v>
      </c>
      <c r="L236" s="63" t="s">
        <v>1053</v>
      </c>
      <c r="M236" s="33"/>
      <c r="N236" s="40"/>
      <c r="O236" s="30"/>
      <c r="P236" s="30"/>
      <c r="Q236" s="35"/>
      <c r="R236" s="30"/>
      <c r="S236" s="35" t="e">
        <f>#N/A</f>
        <v>#N/A</v>
      </c>
      <c r="T236" s="24"/>
    </row>
    <row r="237" spans="1:20" ht="30" customHeight="1" x14ac:dyDescent="0.25">
      <c r="A237" s="70" t="e">
        <f>REPT(#REF!,#REF!)</f>
        <v>#REF!</v>
      </c>
      <c r="B237" s="71"/>
      <c r="C237" s="72"/>
      <c r="D237" s="72"/>
      <c r="E237" s="180" t="s">
        <v>672</v>
      </c>
      <c r="F237" s="74" t="e">
        <f>REPT(#REF!,#REF!)</f>
        <v>#REF!</v>
      </c>
      <c r="G237" s="75"/>
      <c r="H237" s="75"/>
      <c r="I237" s="76"/>
      <c r="J237" s="138"/>
      <c r="K237" s="138"/>
      <c r="L237" s="182"/>
      <c r="M237" s="183"/>
      <c r="N237" s="178"/>
      <c r="O237" s="184"/>
      <c r="P237" s="185"/>
      <c r="Q237" s="185"/>
      <c r="R237" s="185"/>
      <c r="S237" s="186"/>
      <c r="T237" s="187"/>
    </row>
    <row r="238" spans="1:20" ht="30" customHeight="1" x14ac:dyDescent="0.25">
      <c r="A238" s="24">
        <f>A236+1</f>
        <v>215</v>
      </c>
      <c r="B238" s="23" t="s">
        <v>636</v>
      </c>
      <c r="C238" s="24"/>
      <c r="D238" s="25"/>
      <c r="E238" s="26" t="s">
        <v>672</v>
      </c>
      <c r="F238" s="26" t="s">
        <v>1054</v>
      </c>
      <c r="G238" s="87"/>
      <c r="H238" s="37" t="s">
        <v>27</v>
      </c>
      <c r="I238" s="88" t="s">
        <v>1055</v>
      </c>
      <c r="J238" s="41" t="s">
        <v>33</v>
      </c>
      <c r="K238" s="117" t="s">
        <v>43</v>
      </c>
      <c r="L238" s="144" t="s">
        <v>1056</v>
      </c>
      <c r="M238" s="33">
        <v>31789</v>
      </c>
      <c r="N238" s="40" t="s">
        <v>1057</v>
      </c>
      <c r="O238" s="30" t="s">
        <v>47</v>
      </c>
      <c r="P238" s="30" t="s">
        <v>37</v>
      </c>
      <c r="Q238" s="35" t="s">
        <v>1058</v>
      </c>
      <c r="R238" s="30">
        <v>1</v>
      </c>
      <c r="S238" s="35" t="s">
        <v>1059</v>
      </c>
      <c r="T238" s="53" t="s">
        <v>1060</v>
      </c>
    </row>
    <row r="239" spans="1:20" ht="30" customHeight="1" x14ac:dyDescent="0.25">
      <c r="A239" s="24">
        <f t="shared" ref="A239:A265" si="9">A238+1</f>
        <v>216</v>
      </c>
      <c r="B239" s="23" t="s">
        <v>636</v>
      </c>
      <c r="C239" s="24"/>
      <c r="D239" s="24"/>
      <c r="E239" s="30" t="s">
        <v>672</v>
      </c>
      <c r="F239" s="30" t="s">
        <v>1054</v>
      </c>
      <c r="G239" s="33"/>
      <c r="H239" s="37" t="s">
        <v>27</v>
      </c>
      <c r="I239" s="90" t="s">
        <v>1061</v>
      </c>
      <c r="J239" s="41" t="s">
        <v>43</v>
      </c>
      <c r="K239" s="41" t="s">
        <v>43</v>
      </c>
      <c r="L239" s="52" t="s">
        <v>1062</v>
      </c>
      <c r="M239" s="33">
        <v>29361</v>
      </c>
      <c r="N239" s="40" t="s">
        <v>1063</v>
      </c>
      <c r="O239" s="30" t="s">
        <v>47</v>
      </c>
      <c r="P239" s="30" t="s">
        <v>48</v>
      </c>
      <c r="Q239" s="35" t="s">
        <v>1064</v>
      </c>
      <c r="R239" s="30">
        <v>2</v>
      </c>
      <c r="S239" s="35" t="s">
        <v>1065</v>
      </c>
      <c r="T239" s="47" t="s">
        <v>1066</v>
      </c>
    </row>
    <row r="240" spans="1:20" ht="30" customHeight="1" x14ac:dyDescent="0.25">
      <c r="A240" s="24">
        <f t="shared" si="9"/>
        <v>217</v>
      </c>
      <c r="B240" s="23" t="s">
        <v>636</v>
      </c>
      <c r="C240" s="24" t="s">
        <v>31</v>
      </c>
      <c r="D240" s="24"/>
      <c r="E240" s="30" t="s">
        <v>672</v>
      </c>
      <c r="F240" s="30" t="s">
        <v>1054</v>
      </c>
      <c r="G240" s="33"/>
      <c r="H240" s="43" t="s">
        <v>41</v>
      </c>
      <c r="I240" s="90" t="s">
        <v>1067</v>
      </c>
      <c r="J240" s="41" t="s">
        <v>43</v>
      </c>
      <c r="K240" s="38">
        <v>32</v>
      </c>
      <c r="L240" s="39" t="s">
        <v>29</v>
      </c>
      <c r="M240" s="33"/>
      <c r="N240" s="40"/>
      <c r="O240" s="30"/>
      <c r="P240" s="30"/>
      <c r="Q240" s="35"/>
      <c r="R240" s="30"/>
      <c r="S240" s="35"/>
      <c r="T240" s="36"/>
    </row>
    <row r="241" spans="1:20" ht="30" customHeight="1" x14ac:dyDescent="0.25">
      <c r="A241" s="24">
        <f t="shared" si="9"/>
        <v>218</v>
      </c>
      <c r="B241" s="23" t="s">
        <v>636</v>
      </c>
      <c r="C241" s="24"/>
      <c r="D241" s="24"/>
      <c r="E241" s="30" t="s">
        <v>672</v>
      </c>
      <c r="F241" s="30" t="s">
        <v>1054</v>
      </c>
      <c r="G241" s="33"/>
      <c r="H241" s="37" t="s">
        <v>27</v>
      </c>
      <c r="I241" s="90" t="s">
        <v>1068</v>
      </c>
      <c r="J241" s="41" t="s">
        <v>43</v>
      </c>
      <c r="K241" s="41" t="s">
        <v>43</v>
      </c>
      <c r="L241" s="45" t="s">
        <v>1069</v>
      </c>
      <c r="M241" s="33">
        <v>32335</v>
      </c>
      <c r="N241" s="40" t="s">
        <v>1070</v>
      </c>
      <c r="O241" s="30" t="s">
        <v>47</v>
      </c>
      <c r="P241" s="30" t="s">
        <v>48</v>
      </c>
      <c r="Q241" s="35" t="s">
        <v>1071</v>
      </c>
      <c r="R241" s="30">
        <v>2</v>
      </c>
      <c r="S241" s="35" t="s">
        <v>1072</v>
      </c>
      <c r="T241" s="53" t="s">
        <v>1073</v>
      </c>
    </row>
    <row r="242" spans="1:20" ht="30" customHeight="1" x14ac:dyDescent="0.25">
      <c r="A242" s="24">
        <f t="shared" si="9"/>
        <v>219</v>
      </c>
      <c r="B242" s="23" t="s">
        <v>636</v>
      </c>
      <c r="C242" s="24" t="s">
        <v>313</v>
      </c>
      <c r="D242" s="24"/>
      <c r="E242" s="30" t="s">
        <v>672</v>
      </c>
      <c r="F242" s="30" t="s">
        <v>1054</v>
      </c>
      <c r="G242" s="33"/>
      <c r="H242" s="37" t="s">
        <v>27</v>
      </c>
      <c r="I242" s="90" t="s">
        <v>1074</v>
      </c>
      <c r="J242" s="41" t="s">
        <v>43</v>
      </c>
      <c r="K242" s="156" t="s">
        <v>43</v>
      </c>
      <c r="L242" s="170" t="s">
        <v>1075</v>
      </c>
      <c r="M242" s="33">
        <v>31955</v>
      </c>
      <c r="N242" s="40" t="s">
        <v>1076</v>
      </c>
      <c r="O242" s="30" t="s">
        <v>47</v>
      </c>
      <c r="P242" s="30" t="s">
        <v>48</v>
      </c>
      <c r="Q242" s="35" t="s">
        <v>1077</v>
      </c>
      <c r="R242" s="30">
        <v>2</v>
      </c>
      <c r="S242" s="35" t="s">
        <v>1078</v>
      </c>
      <c r="T242" s="53" t="s">
        <v>1079</v>
      </c>
    </row>
    <row r="243" spans="1:20" ht="30" customHeight="1" x14ac:dyDescent="0.25">
      <c r="A243" s="24">
        <f t="shared" si="9"/>
        <v>220</v>
      </c>
      <c r="B243" s="23" t="s">
        <v>636</v>
      </c>
      <c r="C243" s="24"/>
      <c r="D243" s="24"/>
      <c r="E243" s="30" t="s">
        <v>672</v>
      </c>
      <c r="F243" s="30" t="s">
        <v>1054</v>
      </c>
      <c r="G243" s="33"/>
      <c r="H243" s="43" t="s">
        <v>41</v>
      </c>
      <c r="I243" s="44" t="s">
        <v>1080</v>
      </c>
      <c r="J243" s="41" t="s">
        <v>68</v>
      </c>
      <c r="K243" s="41" t="s">
        <v>43</v>
      </c>
      <c r="L243" s="45" t="s">
        <v>1081</v>
      </c>
      <c r="M243" s="33">
        <v>27773</v>
      </c>
      <c r="N243" s="40" t="s">
        <v>1082</v>
      </c>
      <c r="O243" s="30" t="s">
        <v>47</v>
      </c>
      <c r="P243" s="30" t="s">
        <v>48</v>
      </c>
      <c r="Q243" s="35" t="s">
        <v>1083</v>
      </c>
      <c r="R243" s="30">
        <v>1</v>
      </c>
      <c r="S243" s="35" t="s">
        <v>84</v>
      </c>
      <c r="T243" s="36"/>
    </row>
    <row r="244" spans="1:20" ht="30" customHeight="1" x14ac:dyDescent="0.25">
      <c r="A244" s="24">
        <f t="shared" si="9"/>
        <v>221</v>
      </c>
      <c r="B244" s="23" t="s">
        <v>636</v>
      </c>
      <c r="C244" s="24"/>
      <c r="D244" s="24"/>
      <c r="E244" s="30" t="s">
        <v>672</v>
      </c>
      <c r="F244" s="30" t="s">
        <v>1054</v>
      </c>
      <c r="G244" s="33"/>
      <c r="H244" s="43" t="s">
        <v>41</v>
      </c>
      <c r="I244" s="91" t="s">
        <v>1084</v>
      </c>
      <c r="J244" s="41" t="s">
        <v>68</v>
      </c>
      <c r="K244" s="41" t="s">
        <v>44</v>
      </c>
      <c r="L244" s="56" t="s">
        <v>1085</v>
      </c>
      <c r="M244" s="33">
        <v>35281</v>
      </c>
      <c r="N244" s="40" t="s">
        <v>1086</v>
      </c>
      <c r="O244" s="30" t="s">
        <v>47</v>
      </c>
      <c r="P244" s="30" t="s">
        <v>48</v>
      </c>
      <c r="Q244" s="35" t="s">
        <v>1087</v>
      </c>
      <c r="R244" s="30">
        <v>1</v>
      </c>
      <c r="S244" s="35" t="s">
        <v>84</v>
      </c>
      <c r="T244" s="53" t="s">
        <v>1088</v>
      </c>
    </row>
    <row r="245" spans="1:20" ht="30" customHeight="1" x14ac:dyDescent="0.25">
      <c r="A245" s="24">
        <f t="shared" si="9"/>
        <v>222</v>
      </c>
      <c r="B245" s="23" t="s">
        <v>636</v>
      </c>
      <c r="C245" s="24" t="s">
        <v>31</v>
      </c>
      <c r="D245" s="24" t="s">
        <v>185</v>
      </c>
      <c r="E245" s="30" t="s">
        <v>672</v>
      </c>
      <c r="F245" s="30" t="s">
        <v>1054</v>
      </c>
      <c r="G245" s="33"/>
      <c r="H245" s="43" t="s">
        <v>41</v>
      </c>
      <c r="I245" s="96" t="s">
        <v>1089</v>
      </c>
      <c r="J245" s="41" t="s">
        <v>44</v>
      </c>
      <c r="K245" s="128" t="s">
        <v>44</v>
      </c>
      <c r="L245" s="148" t="s">
        <v>1090</v>
      </c>
      <c r="M245" s="33">
        <v>35161</v>
      </c>
      <c r="N245" s="40" t="s">
        <v>1091</v>
      </c>
      <c r="O245" s="30" t="s">
        <v>910</v>
      </c>
      <c r="P245" s="30" t="s">
        <v>37</v>
      </c>
      <c r="Q245" s="35" t="s">
        <v>1092</v>
      </c>
      <c r="R245" s="30"/>
      <c r="S245" s="35" t="s">
        <v>1093</v>
      </c>
      <c r="T245" s="53" t="s">
        <v>1094</v>
      </c>
    </row>
    <row r="246" spans="1:20" ht="30" customHeight="1" x14ac:dyDescent="0.25">
      <c r="A246" s="24">
        <f t="shared" si="9"/>
        <v>223</v>
      </c>
      <c r="B246" s="23" t="s">
        <v>636</v>
      </c>
      <c r="C246" s="24"/>
      <c r="D246" s="24" t="s">
        <v>185</v>
      </c>
      <c r="E246" s="30" t="s">
        <v>672</v>
      </c>
      <c r="F246" s="30" t="s">
        <v>1054</v>
      </c>
      <c r="G246" s="33"/>
      <c r="H246" s="43" t="s">
        <v>41</v>
      </c>
      <c r="I246" s="92" t="s">
        <v>1095</v>
      </c>
      <c r="J246" s="41" t="s">
        <v>44</v>
      </c>
      <c r="K246" s="38">
        <v>33</v>
      </c>
      <c r="L246" s="63" t="s">
        <v>1096</v>
      </c>
      <c r="M246" s="46"/>
      <c r="N246" s="48"/>
      <c r="O246" s="49"/>
      <c r="P246" s="46"/>
      <c r="Q246" s="50"/>
      <c r="R246" s="46"/>
      <c r="S246" s="50"/>
      <c r="T246" s="51"/>
    </row>
    <row r="247" spans="1:20" ht="30" customHeight="1" x14ac:dyDescent="0.25">
      <c r="A247" s="24">
        <f t="shared" si="9"/>
        <v>224</v>
      </c>
      <c r="B247" s="23" t="s">
        <v>636</v>
      </c>
      <c r="C247" s="24"/>
      <c r="D247" s="24" t="s">
        <v>185</v>
      </c>
      <c r="E247" s="30" t="s">
        <v>672</v>
      </c>
      <c r="F247" s="30" t="s">
        <v>1054</v>
      </c>
      <c r="G247" s="33"/>
      <c r="H247" s="43" t="s">
        <v>41</v>
      </c>
      <c r="I247" s="92" t="s">
        <v>1097</v>
      </c>
      <c r="J247" s="41" t="s">
        <v>44</v>
      </c>
      <c r="K247" s="128" t="s">
        <v>44</v>
      </c>
      <c r="L247" s="148" t="s">
        <v>1098</v>
      </c>
      <c r="M247" s="33">
        <v>35123</v>
      </c>
      <c r="N247" s="40" t="s">
        <v>1099</v>
      </c>
      <c r="O247" s="30" t="s">
        <v>47</v>
      </c>
      <c r="P247" s="30" t="s">
        <v>48</v>
      </c>
      <c r="Q247" s="35" t="s">
        <v>1100</v>
      </c>
      <c r="R247" s="30">
        <v>1</v>
      </c>
      <c r="S247" s="35" t="s">
        <v>84</v>
      </c>
      <c r="T247" s="53" t="s">
        <v>1101</v>
      </c>
    </row>
    <row r="248" spans="1:20" ht="30" customHeight="1" x14ac:dyDescent="0.25">
      <c r="A248" s="24">
        <f t="shared" si="9"/>
        <v>225</v>
      </c>
      <c r="B248" s="23" t="s">
        <v>636</v>
      </c>
      <c r="C248" s="24"/>
      <c r="D248" s="24" t="s">
        <v>185</v>
      </c>
      <c r="E248" s="30" t="s">
        <v>672</v>
      </c>
      <c r="F248" s="30" t="s">
        <v>1054</v>
      </c>
      <c r="G248" s="33"/>
      <c r="H248" s="43" t="s">
        <v>41</v>
      </c>
      <c r="I248" s="92" t="s">
        <v>1102</v>
      </c>
      <c r="J248" s="41" t="s">
        <v>44</v>
      </c>
      <c r="K248" s="41" t="s">
        <v>100</v>
      </c>
      <c r="L248" s="150" t="s">
        <v>1103</v>
      </c>
      <c r="M248" s="33">
        <v>36077</v>
      </c>
      <c r="N248" s="40" t="s">
        <v>1104</v>
      </c>
      <c r="O248" s="24" t="s">
        <v>47</v>
      </c>
      <c r="P248" s="30" t="s">
        <v>37</v>
      </c>
      <c r="Q248" s="35" t="s">
        <v>1105</v>
      </c>
      <c r="R248" s="30"/>
      <c r="S248" s="35" t="s">
        <v>427</v>
      </c>
      <c r="T248" s="47" t="s">
        <v>1106</v>
      </c>
    </row>
    <row r="249" spans="1:20" ht="30" customHeight="1" x14ac:dyDescent="0.25">
      <c r="A249" s="24">
        <f t="shared" si="9"/>
        <v>226</v>
      </c>
      <c r="B249" s="23" t="s">
        <v>636</v>
      </c>
      <c r="C249" s="24"/>
      <c r="D249" s="24"/>
      <c r="E249" s="30" t="s">
        <v>672</v>
      </c>
      <c r="F249" s="30" t="s">
        <v>1054</v>
      </c>
      <c r="G249" s="33"/>
      <c r="H249" s="43" t="s">
        <v>41</v>
      </c>
      <c r="I249" s="91" t="s">
        <v>1107</v>
      </c>
      <c r="J249" s="41" t="s">
        <v>68</v>
      </c>
      <c r="K249" s="41" t="s">
        <v>44</v>
      </c>
      <c r="L249" s="56" t="s">
        <v>1108</v>
      </c>
      <c r="M249" s="33">
        <v>34953</v>
      </c>
      <c r="N249" s="40" t="s">
        <v>1109</v>
      </c>
      <c r="O249" s="30" t="s">
        <v>47</v>
      </c>
      <c r="P249" s="30" t="s">
        <v>37</v>
      </c>
      <c r="Q249" s="35" t="s">
        <v>1110</v>
      </c>
      <c r="R249" s="30"/>
      <c r="S249" s="35" t="s">
        <v>1111</v>
      </c>
      <c r="T249" s="53" t="s">
        <v>1112</v>
      </c>
    </row>
    <row r="250" spans="1:20" ht="30" customHeight="1" x14ac:dyDescent="0.25">
      <c r="A250" s="24">
        <f t="shared" si="9"/>
        <v>227</v>
      </c>
      <c r="B250" s="23" t="s">
        <v>636</v>
      </c>
      <c r="C250" s="24" t="s">
        <v>31</v>
      </c>
      <c r="D250" s="24" t="s">
        <v>185</v>
      </c>
      <c r="E250" s="30" t="s">
        <v>672</v>
      </c>
      <c r="F250" s="30" t="s">
        <v>1054</v>
      </c>
      <c r="G250" s="33"/>
      <c r="H250" s="43" t="s">
        <v>41</v>
      </c>
      <c r="I250" s="96" t="s">
        <v>1113</v>
      </c>
      <c r="J250" s="41" t="s">
        <v>44</v>
      </c>
      <c r="K250" s="41" t="s">
        <v>44</v>
      </c>
      <c r="L250" s="56" t="s">
        <v>1114</v>
      </c>
      <c r="M250" s="33">
        <v>34475</v>
      </c>
      <c r="N250" s="40" t="s">
        <v>1115</v>
      </c>
      <c r="O250" s="30" t="s">
        <v>47</v>
      </c>
      <c r="P250" s="30" t="s">
        <v>37</v>
      </c>
      <c r="Q250" s="35" t="s">
        <v>1116</v>
      </c>
      <c r="R250" s="30"/>
      <c r="S250" s="35" t="s">
        <v>1117</v>
      </c>
      <c r="T250" s="36"/>
    </row>
    <row r="251" spans="1:20" ht="30" customHeight="1" x14ac:dyDescent="0.25">
      <c r="A251" s="24">
        <f t="shared" si="9"/>
        <v>228</v>
      </c>
      <c r="B251" s="23" t="s">
        <v>636</v>
      </c>
      <c r="C251" s="24"/>
      <c r="D251" s="24" t="s">
        <v>185</v>
      </c>
      <c r="E251" s="30" t="s">
        <v>672</v>
      </c>
      <c r="F251" s="30" t="s">
        <v>1054</v>
      </c>
      <c r="G251" s="33"/>
      <c r="H251" s="43" t="s">
        <v>41</v>
      </c>
      <c r="I251" s="92" t="s">
        <v>1118</v>
      </c>
      <c r="J251" s="41" t="s">
        <v>44</v>
      </c>
      <c r="K251" s="41" t="s">
        <v>44</v>
      </c>
      <c r="L251" s="56" t="s">
        <v>1119</v>
      </c>
      <c r="M251" s="33">
        <v>35171</v>
      </c>
      <c r="N251" s="40" t="s">
        <v>1120</v>
      </c>
      <c r="O251" s="30" t="s">
        <v>47</v>
      </c>
      <c r="P251" s="30" t="s">
        <v>37</v>
      </c>
      <c r="Q251" s="35" t="s">
        <v>1121</v>
      </c>
      <c r="R251" s="30"/>
      <c r="S251" s="35" t="s">
        <v>1122</v>
      </c>
      <c r="T251" s="53" t="s">
        <v>1123</v>
      </c>
    </row>
    <row r="252" spans="1:20" ht="30" customHeight="1" x14ac:dyDescent="0.25">
      <c r="A252" s="24">
        <f t="shared" si="9"/>
        <v>229</v>
      </c>
      <c r="B252" s="23" t="s">
        <v>636</v>
      </c>
      <c r="C252" s="24"/>
      <c r="D252" s="24" t="s">
        <v>185</v>
      </c>
      <c r="E252" s="30" t="s">
        <v>672</v>
      </c>
      <c r="F252" s="30" t="s">
        <v>1054</v>
      </c>
      <c r="G252" s="33"/>
      <c r="H252" s="43" t="s">
        <v>41</v>
      </c>
      <c r="I252" s="92" t="s">
        <v>1124</v>
      </c>
      <c r="J252" s="41" t="s">
        <v>44</v>
      </c>
      <c r="K252" s="38">
        <v>34</v>
      </c>
      <c r="L252" s="39" t="s">
        <v>29</v>
      </c>
      <c r="M252" s="33"/>
      <c r="N252" s="40"/>
      <c r="O252" s="30"/>
      <c r="P252" s="30"/>
      <c r="Q252" s="35"/>
      <c r="R252" s="30"/>
      <c r="S252" s="35"/>
      <c r="T252" s="36"/>
    </row>
    <row r="253" spans="1:20" ht="30" customHeight="1" x14ac:dyDescent="0.25">
      <c r="A253" s="24">
        <f t="shared" si="9"/>
        <v>230</v>
      </c>
      <c r="B253" s="23" t="s">
        <v>636</v>
      </c>
      <c r="C253" s="24"/>
      <c r="D253" s="24" t="s">
        <v>185</v>
      </c>
      <c r="E253" s="30" t="s">
        <v>672</v>
      </c>
      <c r="F253" s="30" t="s">
        <v>1054</v>
      </c>
      <c r="G253" s="33"/>
      <c r="H253" s="43" t="s">
        <v>41</v>
      </c>
      <c r="I253" s="92" t="s">
        <v>1125</v>
      </c>
      <c r="J253" s="41" t="s">
        <v>44</v>
      </c>
      <c r="K253" s="117" t="s">
        <v>44</v>
      </c>
      <c r="L253" s="56" t="s">
        <v>1126</v>
      </c>
      <c r="M253" s="33">
        <v>34849</v>
      </c>
      <c r="N253" s="40" t="s">
        <v>1076</v>
      </c>
      <c r="O253" s="30" t="s">
        <v>47</v>
      </c>
      <c r="P253" s="30" t="s">
        <v>37</v>
      </c>
      <c r="Q253" s="35" t="s">
        <v>1127</v>
      </c>
      <c r="R253" s="30"/>
      <c r="S253" s="35" t="s">
        <v>84</v>
      </c>
      <c r="T253" s="53" t="s">
        <v>1128</v>
      </c>
    </row>
    <row r="254" spans="1:20" ht="30" customHeight="1" x14ac:dyDescent="0.25">
      <c r="A254" s="24">
        <f t="shared" si="9"/>
        <v>231</v>
      </c>
      <c r="B254" s="23" t="s">
        <v>636</v>
      </c>
      <c r="C254" s="24"/>
      <c r="D254" s="24"/>
      <c r="E254" s="30" t="s">
        <v>672</v>
      </c>
      <c r="F254" s="30" t="s">
        <v>1054</v>
      </c>
      <c r="G254" s="33"/>
      <c r="H254" s="43" t="s">
        <v>41</v>
      </c>
      <c r="I254" s="91" t="s">
        <v>1129</v>
      </c>
      <c r="J254" s="41" t="s">
        <v>68</v>
      </c>
      <c r="K254" s="41" t="s">
        <v>44</v>
      </c>
      <c r="L254" s="56" t="s">
        <v>1130</v>
      </c>
      <c r="M254" s="33">
        <v>35507</v>
      </c>
      <c r="N254" s="40" t="s">
        <v>1131</v>
      </c>
      <c r="O254" s="30" t="s">
        <v>47</v>
      </c>
      <c r="P254" s="30" t="s">
        <v>37</v>
      </c>
      <c r="Q254" s="35" t="s">
        <v>1132</v>
      </c>
      <c r="R254" s="30"/>
      <c r="S254" s="35" t="s">
        <v>84</v>
      </c>
      <c r="T254" s="53" t="s">
        <v>1133</v>
      </c>
    </row>
    <row r="255" spans="1:20" ht="30" customHeight="1" x14ac:dyDescent="0.25">
      <c r="A255" s="24">
        <f t="shared" si="9"/>
        <v>232</v>
      </c>
      <c r="B255" s="23" t="s">
        <v>636</v>
      </c>
      <c r="C255" s="24" t="s">
        <v>31</v>
      </c>
      <c r="D255" s="24" t="s">
        <v>185</v>
      </c>
      <c r="E255" s="30" t="s">
        <v>672</v>
      </c>
      <c r="F255" s="30" t="s">
        <v>1054</v>
      </c>
      <c r="G255" s="33"/>
      <c r="H255" s="43" t="s">
        <v>41</v>
      </c>
      <c r="I255" s="96" t="s">
        <v>1134</v>
      </c>
      <c r="J255" s="54" t="s">
        <v>44</v>
      </c>
      <c r="K255" s="146" t="s">
        <v>44</v>
      </c>
      <c r="L255" s="45" t="s">
        <v>1135</v>
      </c>
      <c r="M255" s="69">
        <v>31624</v>
      </c>
      <c r="N255" s="48"/>
      <c r="O255" s="68"/>
      <c r="P255" s="46"/>
      <c r="Q255" s="46"/>
      <c r="R255" s="30"/>
      <c r="S255" s="35"/>
      <c r="T255" s="53"/>
    </row>
    <row r="256" spans="1:20" ht="30" customHeight="1" x14ac:dyDescent="0.25">
      <c r="A256" s="24">
        <f t="shared" si="9"/>
        <v>233</v>
      </c>
      <c r="B256" s="23" t="s">
        <v>636</v>
      </c>
      <c r="C256" s="24"/>
      <c r="D256" s="24" t="s">
        <v>185</v>
      </c>
      <c r="E256" s="30" t="s">
        <v>672</v>
      </c>
      <c r="F256" s="30" t="s">
        <v>1054</v>
      </c>
      <c r="G256" s="33"/>
      <c r="H256" s="43" t="s">
        <v>41</v>
      </c>
      <c r="I256" s="92" t="s">
        <v>1136</v>
      </c>
      <c r="J256" s="54" t="s">
        <v>44</v>
      </c>
      <c r="K256" s="146" t="s">
        <v>44</v>
      </c>
      <c r="L256" s="45" t="s">
        <v>1137</v>
      </c>
      <c r="M256" s="33">
        <v>35334</v>
      </c>
      <c r="N256" s="48"/>
      <c r="O256" s="30"/>
      <c r="P256" s="46"/>
      <c r="Q256" s="46"/>
      <c r="R256" s="50"/>
      <c r="S256" s="50"/>
      <c r="T256" s="49"/>
    </row>
    <row r="257" spans="1:20" ht="30" customHeight="1" x14ac:dyDescent="0.25">
      <c r="A257" s="24">
        <f t="shared" si="9"/>
        <v>234</v>
      </c>
      <c r="B257" s="23" t="s">
        <v>636</v>
      </c>
      <c r="C257" s="24"/>
      <c r="D257" s="24" t="s">
        <v>185</v>
      </c>
      <c r="E257" s="30" t="s">
        <v>672</v>
      </c>
      <c r="F257" s="30" t="s">
        <v>1054</v>
      </c>
      <c r="G257" s="33"/>
      <c r="H257" s="43" t="s">
        <v>41</v>
      </c>
      <c r="I257" s="92" t="s">
        <v>1138</v>
      </c>
      <c r="J257" s="41" t="s">
        <v>44</v>
      </c>
      <c r="K257" s="41" t="s">
        <v>44</v>
      </c>
      <c r="L257" s="56" t="s">
        <v>1139</v>
      </c>
      <c r="M257" s="33">
        <v>33271</v>
      </c>
      <c r="N257" s="40" t="s">
        <v>1140</v>
      </c>
      <c r="O257" s="30" t="s">
        <v>47</v>
      </c>
      <c r="P257" s="30" t="s">
        <v>48</v>
      </c>
      <c r="Q257" s="35" t="s">
        <v>1141</v>
      </c>
      <c r="R257" s="30"/>
      <c r="S257" s="35" t="s">
        <v>84</v>
      </c>
      <c r="T257" s="53" t="s">
        <v>1142</v>
      </c>
    </row>
    <row r="258" spans="1:20" ht="30" customHeight="1" x14ac:dyDescent="0.25">
      <c r="A258" s="24">
        <f t="shared" si="9"/>
        <v>235</v>
      </c>
      <c r="B258" s="23" t="s">
        <v>636</v>
      </c>
      <c r="C258" s="24"/>
      <c r="D258" s="24" t="s">
        <v>185</v>
      </c>
      <c r="E258" s="30" t="s">
        <v>672</v>
      </c>
      <c r="F258" s="30" t="s">
        <v>1054</v>
      </c>
      <c r="G258" s="33"/>
      <c r="H258" s="43" t="s">
        <v>41</v>
      </c>
      <c r="I258" s="92" t="s">
        <v>1143</v>
      </c>
      <c r="J258" s="41" t="s">
        <v>44</v>
      </c>
      <c r="K258" s="117" t="s">
        <v>44</v>
      </c>
      <c r="L258" s="197" t="s">
        <v>1144</v>
      </c>
      <c r="M258" s="33">
        <v>35205</v>
      </c>
      <c r="N258" s="40" t="s">
        <v>1145</v>
      </c>
      <c r="O258" s="30" t="s">
        <v>47</v>
      </c>
      <c r="P258" s="30" t="s">
        <v>48</v>
      </c>
      <c r="Q258" s="35" t="s">
        <v>1146</v>
      </c>
      <c r="R258" s="30"/>
      <c r="S258" s="35" t="s">
        <v>84</v>
      </c>
      <c r="T258" s="53" t="s">
        <v>1147</v>
      </c>
    </row>
    <row r="259" spans="1:20" ht="30" customHeight="1" x14ac:dyDescent="0.25">
      <c r="A259" s="24">
        <f t="shared" si="9"/>
        <v>236</v>
      </c>
      <c r="B259" s="23" t="s">
        <v>200</v>
      </c>
      <c r="C259" s="24"/>
      <c r="D259" s="24"/>
      <c r="E259" s="30" t="s">
        <v>672</v>
      </c>
      <c r="F259" s="30" t="s">
        <v>1054</v>
      </c>
      <c r="G259" s="33"/>
      <c r="H259" s="43" t="s">
        <v>41</v>
      </c>
      <c r="I259" s="91" t="s">
        <v>1148</v>
      </c>
      <c r="J259" s="41" t="s">
        <v>68</v>
      </c>
      <c r="K259" s="41" t="s">
        <v>68</v>
      </c>
      <c r="L259" s="45" t="s">
        <v>1149</v>
      </c>
      <c r="M259" s="33">
        <v>31441</v>
      </c>
      <c r="N259" s="40" t="s">
        <v>1150</v>
      </c>
      <c r="O259" s="24" t="s">
        <v>47</v>
      </c>
      <c r="P259" s="30" t="s">
        <v>48</v>
      </c>
      <c r="Q259" s="35" t="s">
        <v>1151</v>
      </c>
      <c r="R259" s="30">
        <v>2</v>
      </c>
      <c r="S259" s="35" t="s">
        <v>1152</v>
      </c>
      <c r="T259" s="53" t="s">
        <v>1153</v>
      </c>
    </row>
    <row r="260" spans="1:20" ht="30" customHeight="1" x14ac:dyDescent="0.25">
      <c r="A260" s="24">
        <f t="shared" si="9"/>
        <v>237</v>
      </c>
      <c r="B260" s="23" t="s">
        <v>200</v>
      </c>
      <c r="C260" s="24"/>
      <c r="D260" s="24" t="s">
        <v>185</v>
      </c>
      <c r="E260" s="30" t="s">
        <v>672</v>
      </c>
      <c r="F260" s="30" t="s">
        <v>1054</v>
      </c>
      <c r="G260" s="33"/>
      <c r="H260" s="43" t="s">
        <v>41</v>
      </c>
      <c r="I260" s="92" t="s">
        <v>1154</v>
      </c>
      <c r="J260" s="41" t="s">
        <v>44</v>
      </c>
      <c r="K260" s="38">
        <v>35</v>
      </c>
      <c r="L260" s="63" t="s">
        <v>204</v>
      </c>
      <c r="M260" s="46"/>
      <c r="N260" s="48"/>
      <c r="O260" s="49"/>
      <c r="P260" s="46"/>
      <c r="Q260" s="50"/>
      <c r="R260" s="46"/>
      <c r="S260" s="50"/>
      <c r="T260" s="51"/>
    </row>
    <row r="261" spans="1:20" ht="30" customHeight="1" x14ac:dyDescent="0.25">
      <c r="A261" s="24">
        <f t="shared" si="9"/>
        <v>238</v>
      </c>
      <c r="B261" s="23" t="s">
        <v>200</v>
      </c>
      <c r="C261" s="24"/>
      <c r="D261" s="24" t="s">
        <v>185</v>
      </c>
      <c r="E261" s="30" t="s">
        <v>672</v>
      </c>
      <c r="F261" s="30" t="s">
        <v>1054</v>
      </c>
      <c r="G261" s="33"/>
      <c r="H261" s="43" t="s">
        <v>41</v>
      </c>
      <c r="I261" s="92" t="s">
        <v>1155</v>
      </c>
      <c r="J261" s="41" t="s">
        <v>44</v>
      </c>
      <c r="K261" s="41" t="s">
        <v>44</v>
      </c>
      <c r="L261" s="45" t="s">
        <v>1156</v>
      </c>
      <c r="M261" s="33">
        <v>29670</v>
      </c>
      <c r="N261" s="40" t="s">
        <v>586</v>
      </c>
      <c r="O261" s="30" t="s">
        <v>1157</v>
      </c>
      <c r="P261" s="30" t="s">
        <v>48</v>
      </c>
      <c r="Q261" s="35" t="s">
        <v>1158</v>
      </c>
      <c r="R261" s="30">
        <v>2</v>
      </c>
      <c r="S261" s="35" t="s">
        <v>1159</v>
      </c>
      <c r="T261" s="53" t="s">
        <v>1160</v>
      </c>
    </row>
    <row r="262" spans="1:20" ht="30" customHeight="1" x14ac:dyDescent="0.25">
      <c r="A262" s="24">
        <f t="shared" si="9"/>
        <v>239</v>
      </c>
      <c r="B262" s="23" t="s">
        <v>200</v>
      </c>
      <c r="C262" s="24"/>
      <c r="D262" s="24" t="s">
        <v>185</v>
      </c>
      <c r="E262" s="30" t="s">
        <v>672</v>
      </c>
      <c r="F262" s="30" t="s">
        <v>1054</v>
      </c>
      <c r="G262" s="33"/>
      <c r="H262" s="43" t="s">
        <v>41</v>
      </c>
      <c r="I262" s="92" t="s">
        <v>1161</v>
      </c>
      <c r="J262" s="54" t="s">
        <v>44</v>
      </c>
      <c r="K262" s="213" t="s">
        <v>68</v>
      </c>
      <c r="L262" s="214" t="s">
        <v>1162</v>
      </c>
      <c r="M262" s="33">
        <v>30735</v>
      </c>
      <c r="N262" s="40"/>
      <c r="O262" s="30"/>
      <c r="P262" s="30"/>
      <c r="Q262" s="35"/>
      <c r="R262" s="30"/>
      <c r="S262" s="35" t="e">
        <f>#N/A</f>
        <v>#N/A</v>
      </c>
      <c r="T262" s="46"/>
    </row>
    <row r="263" spans="1:20" ht="30" customHeight="1" x14ac:dyDescent="0.25">
      <c r="A263" s="24">
        <f t="shared" si="9"/>
        <v>240</v>
      </c>
      <c r="B263" s="23" t="s">
        <v>200</v>
      </c>
      <c r="C263" s="24"/>
      <c r="D263" s="24" t="s">
        <v>185</v>
      </c>
      <c r="E263" s="30" t="s">
        <v>672</v>
      </c>
      <c r="F263" s="30" t="s">
        <v>1054</v>
      </c>
      <c r="G263" s="33"/>
      <c r="H263" s="43" t="s">
        <v>41</v>
      </c>
      <c r="I263" s="92" t="s">
        <v>1163</v>
      </c>
      <c r="J263" s="41" t="s">
        <v>44</v>
      </c>
      <c r="K263" s="41" t="s">
        <v>44</v>
      </c>
      <c r="L263" s="56" t="s">
        <v>1164</v>
      </c>
      <c r="M263" s="33">
        <v>34805</v>
      </c>
      <c r="N263" s="40" t="s">
        <v>1165</v>
      </c>
      <c r="O263" s="30" t="s">
        <v>47</v>
      </c>
      <c r="P263" s="30" t="s">
        <v>48</v>
      </c>
      <c r="Q263" s="35" t="s">
        <v>1166</v>
      </c>
      <c r="R263" s="30">
        <v>1</v>
      </c>
      <c r="S263" s="35" t="s">
        <v>1167</v>
      </c>
      <c r="T263" s="53" t="s">
        <v>1168</v>
      </c>
    </row>
    <row r="264" spans="1:20" ht="30" customHeight="1" x14ac:dyDescent="0.25">
      <c r="A264" s="24">
        <f t="shared" si="9"/>
        <v>241</v>
      </c>
      <c r="B264" s="23" t="s">
        <v>93</v>
      </c>
      <c r="C264" s="24"/>
      <c r="D264" s="24" t="s">
        <v>185</v>
      </c>
      <c r="E264" s="30" t="s">
        <v>672</v>
      </c>
      <c r="F264" s="30" t="s">
        <v>1054</v>
      </c>
      <c r="G264" s="33"/>
      <c r="H264" s="37" t="s">
        <v>27</v>
      </c>
      <c r="I264" s="92" t="s">
        <v>1169</v>
      </c>
      <c r="J264" s="41" t="s">
        <v>44</v>
      </c>
      <c r="K264" s="38">
        <v>36</v>
      </c>
      <c r="L264" s="39" t="s">
        <v>29</v>
      </c>
      <c r="M264" s="33"/>
      <c r="N264" s="40"/>
      <c r="O264" s="30"/>
      <c r="P264" s="30"/>
      <c r="Q264" s="35"/>
      <c r="R264" s="30"/>
      <c r="S264" s="35"/>
      <c r="T264" s="36"/>
    </row>
    <row r="265" spans="1:20" ht="30" customHeight="1" x14ac:dyDescent="0.25">
      <c r="A265" s="24">
        <f t="shared" si="9"/>
        <v>242</v>
      </c>
      <c r="B265" s="23" t="s">
        <v>234</v>
      </c>
      <c r="C265" s="24"/>
      <c r="D265" s="67" t="s">
        <v>185</v>
      </c>
      <c r="E265" s="68" t="s">
        <v>672</v>
      </c>
      <c r="F265" s="68" t="s">
        <v>1054</v>
      </c>
      <c r="G265" s="69"/>
      <c r="H265" s="43" t="s">
        <v>41</v>
      </c>
      <c r="I265" s="92" t="s">
        <v>1170</v>
      </c>
      <c r="J265" s="41" t="s">
        <v>924</v>
      </c>
      <c r="K265" s="38">
        <v>37</v>
      </c>
      <c r="L265" s="63" t="s">
        <v>1171</v>
      </c>
      <c r="M265" s="33"/>
      <c r="N265" s="40"/>
      <c r="O265" s="30"/>
      <c r="P265" s="30"/>
      <c r="Q265" s="35"/>
      <c r="R265" s="30"/>
      <c r="S265" s="35"/>
      <c r="T265" s="36"/>
    </row>
    <row r="266" spans="1:20" ht="30" customHeight="1" x14ac:dyDescent="0.25">
      <c r="A266" s="70" t="e">
        <f>REPT(#REF!,#REF!)</f>
        <v>#REF!</v>
      </c>
      <c r="B266" s="71"/>
      <c r="C266" s="72"/>
      <c r="D266" s="72"/>
      <c r="E266" s="180" t="s">
        <v>672</v>
      </c>
      <c r="F266" s="74" t="e">
        <f>REPT(#REF!,#REF!)</f>
        <v>#REF!</v>
      </c>
      <c r="G266" s="75"/>
      <c r="H266" s="75"/>
      <c r="I266" s="76"/>
      <c r="J266" s="138"/>
      <c r="K266" s="78"/>
      <c r="L266" s="79"/>
      <c r="M266" s="80"/>
      <c r="N266" s="81"/>
      <c r="O266" s="82"/>
      <c r="P266" s="83"/>
      <c r="Q266" s="83"/>
      <c r="R266" s="83"/>
      <c r="S266" s="84"/>
      <c r="T266" s="187"/>
    </row>
    <row r="267" spans="1:20" ht="30" customHeight="1" x14ac:dyDescent="0.25">
      <c r="A267" s="24">
        <f>A265+1</f>
        <v>243</v>
      </c>
      <c r="B267" s="23" t="s">
        <v>636</v>
      </c>
      <c r="C267" s="24"/>
      <c r="D267" s="25"/>
      <c r="E267" s="26" t="s">
        <v>672</v>
      </c>
      <c r="F267" s="26" t="s">
        <v>1172</v>
      </c>
      <c r="G267" s="87"/>
      <c r="H267" s="43" t="s">
        <v>41</v>
      </c>
      <c r="I267" s="91" t="s">
        <v>1173</v>
      </c>
      <c r="J267" s="41" t="s">
        <v>68</v>
      </c>
      <c r="K267" s="41" t="s">
        <v>68</v>
      </c>
      <c r="L267" s="52" t="s">
        <v>1174</v>
      </c>
      <c r="M267" s="33">
        <v>33455</v>
      </c>
      <c r="N267" s="40" t="s">
        <v>1175</v>
      </c>
      <c r="O267" s="30" t="s">
        <v>47</v>
      </c>
      <c r="P267" s="30" t="s">
        <v>37</v>
      </c>
      <c r="Q267" s="210" t="s">
        <v>1176</v>
      </c>
      <c r="R267" s="211"/>
      <c r="S267" s="210" t="s">
        <v>1177</v>
      </c>
      <c r="T267" s="53" t="s">
        <v>1178</v>
      </c>
    </row>
    <row r="268" spans="1:20" ht="30" customHeight="1" x14ac:dyDescent="0.25">
      <c r="A268" s="24">
        <f>A267+1</f>
        <v>244</v>
      </c>
      <c r="B268" s="23" t="s">
        <v>636</v>
      </c>
      <c r="C268" s="24"/>
      <c r="D268" s="24" t="s">
        <v>185</v>
      </c>
      <c r="E268" s="30" t="s">
        <v>672</v>
      </c>
      <c r="F268" s="30" t="s">
        <v>1172</v>
      </c>
      <c r="G268" s="33"/>
      <c r="H268" s="43" t="s">
        <v>41</v>
      </c>
      <c r="I268" s="92" t="s">
        <v>1179</v>
      </c>
      <c r="J268" s="41" t="s">
        <v>44</v>
      </c>
      <c r="K268" s="68" t="s">
        <v>68</v>
      </c>
      <c r="L268" s="144" t="s">
        <v>1180</v>
      </c>
      <c r="M268" s="69">
        <v>32312</v>
      </c>
      <c r="N268" s="134" t="s">
        <v>1181</v>
      </c>
      <c r="O268" s="68" t="s">
        <v>47</v>
      </c>
      <c r="P268" s="30" t="s">
        <v>48</v>
      </c>
      <c r="Q268" s="135" t="s">
        <v>1182</v>
      </c>
      <c r="R268" s="68"/>
      <c r="S268" s="135" t="s">
        <v>1183</v>
      </c>
      <c r="T268" s="200" t="s">
        <v>1184</v>
      </c>
    </row>
    <row r="269" spans="1:20" ht="30" customHeight="1" x14ac:dyDescent="0.25">
      <c r="A269" s="24">
        <f>A268+1</f>
        <v>245</v>
      </c>
      <c r="B269" s="23" t="s">
        <v>636</v>
      </c>
      <c r="C269" s="24"/>
      <c r="D269" s="24" t="s">
        <v>185</v>
      </c>
      <c r="E269" s="30" t="s">
        <v>672</v>
      </c>
      <c r="F269" s="30" t="s">
        <v>1172</v>
      </c>
      <c r="G269" s="33"/>
      <c r="H269" s="43" t="s">
        <v>41</v>
      </c>
      <c r="I269" s="92" t="s">
        <v>1185</v>
      </c>
      <c r="J269" s="41" t="s">
        <v>44</v>
      </c>
      <c r="K269" s="41" t="s">
        <v>44</v>
      </c>
      <c r="L269" s="56" t="s">
        <v>1186</v>
      </c>
      <c r="M269" s="33">
        <v>35147</v>
      </c>
      <c r="N269" s="40" t="s">
        <v>90</v>
      </c>
      <c r="O269" s="30" t="s">
        <v>47</v>
      </c>
      <c r="P269" s="30" t="s">
        <v>48</v>
      </c>
      <c r="Q269" s="35" t="s">
        <v>1187</v>
      </c>
      <c r="R269" s="30"/>
      <c r="S269" s="35" t="s">
        <v>84</v>
      </c>
      <c r="T269" s="53" t="s">
        <v>1188</v>
      </c>
    </row>
    <row r="270" spans="1:20" ht="30" customHeight="1" x14ac:dyDescent="0.25">
      <c r="A270" s="24">
        <f>A269+1</f>
        <v>246</v>
      </c>
      <c r="B270" s="23" t="s">
        <v>636</v>
      </c>
      <c r="C270" s="24"/>
      <c r="D270" s="67" t="s">
        <v>185</v>
      </c>
      <c r="E270" s="68" t="s">
        <v>672</v>
      </c>
      <c r="F270" s="68" t="s">
        <v>1172</v>
      </c>
      <c r="G270" s="69"/>
      <c r="H270" s="116" t="s">
        <v>41</v>
      </c>
      <c r="I270" s="92" t="s">
        <v>1189</v>
      </c>
      <c r="J270" s="41" t="s">
        <v>44</v>
      </c>
      <c r="K270" s="41" t="s">
        <v>44</v>
      </c>
      <c r="L270" s="56" t="s">
        <v>1190</v>
      </c>
      <c r="M270" s="55">
        <v>33662</v>
      </c>
      <c r="N270" s="40" t="s">
        <v>1191</v>
      </c>
      <c r="O270" s="30" t="s">
        <v>47</v>
      </c>
      <c r="P270" s="30" t="s">
        <v>37</v>
      </c>
      <c r="Q270" s="35" t="s">
        <v>1192</v>
      </c>
      <c r="R270" s="30"/>
      <c r="S270" s="35" t="s">
        <v>84</v>
      </c>
      <c r="T270" s="53" t="s">
        <v>1193</v>
      </c>
    </row>
    <row r="271" spans="1:20" ht="30" customHeight="1" x14ac:dyDescent="0.25">
      <c r="A271" s="70" t="e">
        <f>REPT(#REF!,#REF!)</f>
        <v>#REF!</v>
      </c>
      <c r="B271" s="71"/>
      <c r="C271" s="72"/>
      <c r="D271" s="72"/>
      <c r="E271" s="180" t="s">
        <v>672</v>
      </c>
      <c r="F271" s="74" t="e">
        <f>REPT(#REF!,#REF!)</f>
        <v>#REF!</v>
      </c>
      <c r="G271" s="104"/>
      <c r="H271" s="75"/>
      <c r="I271" s="105"/>
      <c r="J271" s="138"/>
      <c r="K271" s="215"/>
      <c r="L271" s="201"/>
      <c r="M271" s="202"/>
      <c r="N271" s="203"/>
      <c r="O271" s="204"/>
      <c r="P271" s="205"/>
      <c r="Q271" s="205"/>
      <c r="R271" s="205"/>
      <c r="S271" s="206"/>
      <c r="T271" s="207"/>
    </row>
    <row r="272" spans="1:20" ht="30" customHeight="1" x14ac:dyDescent="0.25">
      <c r="A272" s="24">
        <f>A270+1</f>
        <v>247</v>
      </c>
      <c r="B272" s="23" t="s">
        <v>1194</v>
      </c>
      <c r="C272" s="24"/>
      <c r="D272" s="25"/>
      <c r="E272" s="26" t="s">
        <v>672</v>
      </c>
      <c r="F272" s="26" t="s">
        <v>1195</v>
      </c>
      <c r="G272" s="87"/>
      <c r="H272" s="126" t="s">
        <v>27</v>
      </c>
      <c r="I272" s="88" t="s">
        <v>1196</v>
      </c>
      <c r="J272" s="41" t="s">
        <v>33</v>
      </c>
      <c r="K272" s="41" t="s">
        <v>43</v>
      </c>
      <c r="L272" s="89" t="s">
        <v>1197</v>
      </c>
      <c r="M272" s="33">
        <v>31263</v>
      </c>
      <c r="N272" s="40" t="s">
        <v>1198</v>
      </c>
      <c r="O272" s="30" t="s">
        <v>47</v>
      </c>
      <c r="P272" s="30" t="s">
        <v>48</v>
      </c>
      <c r="Q272" s="35" t="s">
        <v>1199</v>
      </c>
      <c r="R272" s="30">
        <v>3</v>
      </c>
      <c r="S272" s="35" t="s">
        <v>1200</v>
      </c>
      <c r="T272" s="53" t="s">
        <v>1201</v>
      </c>
    </row>
    <row r="273" spans="1:20" ht="30" customHeight="1" x14ac:dyDescent="0.25">
      <c r="A273" s="24">
        <f t="shared" ref="A273:A291" si="10">A272+1</f>
        <v>248</v>
      </c>
      <c r="B273" s="23" t="s">
        <v>1194</v>
      </c>
      <c r="C273" s="24"/>
      <c r="D273" s="24"/>
      <c r="E273" s="30" t="s">
        <v>672</v>
      </c>
      <c r="F273" s="30" t="s">
        <v>1195</v>
      </c>
      <c r="G273" s="33"/>
      <c r="H273" s="37" t="s">
        <v>27</v>
      </c>
      <c r="I273" s="90" t="s">
        <v>1202</v>
      </c>
      <c r="J273" s="41" t="s">
        <v>43</v>
      </c>
      <c r="K273" s="128" t="s">
        <v>43</v>
      </c>
      <c r="L273" s="129" t="s">
        <v>1203</v>
      </c>
      <c r="M273" s="33">
        <v>28200</v>
      </c>
      <c r="N273" s="40" t="s">
        <v>1204</v>
      </c>
      <c r="O273" s="30" t="s">
        <v>47</v>
      </c>
      <c r="P273" s="30" t="s">
        <v>48</v>
      </c>
      <c r="Q273" s="35" t="s">
        <v>1205</v>
      </c>
      <c r="R273" s="30"/>
      <c r="S273" s="35" t="s">
        <v>72</v>
      </c>
      <c r="T273" s="53" t="s">
        <v>1206</v>
      </c>
    </row>
    <row r="274" spans="1:20" ht="30" customHeight="1" x14ac:dyDescent="0.25">
      <c r="A274" s="24">
        <f t="shared" si="10"/>
        <v>249</v>
      </c>
      <c r="B274" s="23" t="s">
        <v>1194</v>
      </c>
      <c r="C274" s="24" t="s">
        <v>313</v>
      </c>
      <c r="D274" s="24"/>
      <c r="E274" s="30" t="s">
        <v>672</v>
      </c>
      <c r="F274" s="30" t="s">
        <v>1195</v>
      </c>
      <c r="G274" s="33"/>
      <c r="H274" s="37" t="s">
        <v>27</v>
      </c>
      <c r="I274" s="90" t="s">
        <v>1207</v>
      </c>
      <c r="J274" s="41" t="s">
        <v>43</v>
      </c>
      <c r="K274" s="41" t="s">
        <v>68</v>
      </c>
      <c r="L274" s="89" t="s">
        <v>1208</v>
      </c>
      <c r="M274" s="33">
        <v>31171</v>
      </c>
      <c r="N274" s="40" t="s">
        <v>1209</v>
      </c>
      <c r="O274" s="30" t="s">
        <v>47</v>
      </c>
      <c r="P274" s="24" t="s">
        <v>48</v>
      </c>
      <c r="Q274" s="35" t="s">
        <v>1210</v>
      </c>
      <c r="R274" s="30">
        <v>3</v>
      </c>
      <c r="S274" s="35" t="s">
        <v>1211</v>
      </c>
      <c r="T274" s="53" t="s">
        <v>1212</v>
      </c>
    </row>
    <row r="275" spans="1:20" ht="30" customHeight="1" x14ac:dyDescent="0.25">
      <c r="A275" s="24">
        <f t="shared" si="10"/>
        <v>250</v>
      </c>
      <c r="B275" s="23" t="s">
        <v>1194</v>
      </c>
      <c r="C275" s="24"/>
      <c r="D275" s="24"/>
      <c r="E275" s="30" t="s">
        <v>672</v>
      </c>
      <c r="F275" s="30" t="s">
        <v>1195</v>
      </c>
      <c r="G275" s="33"/>
      <c r="H275" s="43" t="s">
        <v>41</v>
      </c>
      <c r="I275" s="44" t="s">
        <v>1213</v>
      </c>
      <c r="J275" s="41" t="s">
        <v>68</v>
      </c>
      <c r="K275" s="41" t="s">
        <v>68</v>
      </c>
      <c r="L275" s="89" t="s">
        <v>1214</v>
      </c>
      <c r="M275" s="33">
        <v>31187</v>
      </c>
      <c r="N275" s="40" t="s">
        <v>1215</v>
      </c>
      <c r="O275" s="30" t="s">
        <v>47</v>
      </c>
      <c r="P275" s="30" t="s">
        <v>48</v>
      </c>
      <c r="Q275" s="35" t="s">
        <v>1216</v>
      </c>
      <c r="R275" s="30">
        <v>1</v>
      </c>
      <c r="S275" s="35" t="s">
        <v>1217</v>
      </c>
      <c r="T275" s="53" t="s">
        <v>1218</v>
      </c>
    </row>
    <row r="276" spans="1:20" ht="30" customHeight="1" x14ac:dyDescent="0.25">
      <c r="A276" s="24">
        <f t="shared" si="10"/>
        <v>251</v>
      </c>
      <c r="B276" s="23" t="s">
        <v>1194</v>
      </c>
      <c r="C276" s="24"/>
      <c r="D276" s="24"/>
      <c r="E276" s="30" t="s">
        <v>672</v>
      </c>
      <c r="F276" s="30" t="s">
        <v>1195</v>
      </c>
      <c r="G276" s="33"/>
      <c r="H276" s="43" t="s">
        <v>41</v>
      </c>
      <c r="I276" s="91" t="s">
        <v>1219</v>
      </c>
      <c r="J276" s="41" t="s">
        <v>68</v>
      </c>
      <c r="K276" s="41" t="s">
        <v>68</v>
      </c>
      <c r="L276" s="89" t="s">
        <v>1220</v>
      </c>
      <c r="M276" s="33">
        <v>31158</v>
      </c>
      <c r="N276" s="40" t="s">
        <v>1221</v>
      </c>
      <c r="O276" s="30" t="s">
        <v>47</v>
      </c>
      <c r="P276" s="30" t="s">
        <v>48</v>
      </c>
      <c r="Q276" s="35" t="s">
        <v>1222</v>
      </c>
      <c r="R276" s="30">
        <v>2</v>
      </c>
      <c r="S276" s="35" t="s">
        <v>1223</v>
      </c>
      <c r="T276" s="53" t="s">
        <v>1224</v>
      </c>
    </row>
    <row r="277" spans="1:20" ht="30" customHeight="1" x14ac:dyDescent="0.25">
      <c r="A277" s="24">
        <f t="shared" si="10"/>
        <v>252</v>
      </c>
      <c r="B277" s="23" t="s">
        <v>1194</v>
      </c>
      <c r="C277" s="24"/>
      <c r="D277" s="24" t="s">
        <v>185</v>
      </c>
      <c r="E277" s="30" t="s">
        <v>672</v>
      </c>
      <c r="F277" s="30" t="s">
        <v>1195</v>
      </c>
      <c r="G277" s="33"/>
      <c r="H277" s="43" t="s">
        <v>41</v>
      </c>
      <c r="I277" s="96" t="s">
        <v>1225</v>
      </c>
      <c r="J277" s="41" t="s">
        <v>44</v>
      </c>
      <c r="K277" s="41" t="s">
        <v>44</v>
      </c>
      <c r="L277" s="93" t="s">
        <v>1226</v>
      </c>
      <c r="M277" s="33">
        <v>34859</v>
      </c>
      <c r="N277" s="40" t="s">
        <v>1227</v>
      </c>
      <c r="O277" s="30" t="s">
        <v>47</v>
      </c>
      <c r="P277" s="30" t="s">
        <v>37</v>
      </c>
      <c r="Q277" s="35" t="s">
        <v>1228</v>
      </c>
      <c r="R277" s="30"/>
      <c r="S277" s="35" t="s">
        <v>1229</v>
      </c>
      <c r="T277" s="53" t="s">
        <v>1230</v>
      </c>
    </row>
    <row r="278" spans="1:20" ht="30" customHeight="1" x14ac:dyDescent="0.25">
      <c r="A278" s="24">
        <f t="shared" si="10"/>
        <v>253</v>
      </c>
      <c r="B278" s="23" t="s">
        <v>1194</v>
      </c>
      <c r="C278" s="24"/>
      <c r="D278" s="24" t="s">
        <v>185</v>
      </c>
      <c r="E278" s="30" t="s">
        <v>672</v>
      </c>
      <c r="F278" s="30" t="s">
        <v>1195</v>
      </c>
      <c r="G278" s="33"/>
      <c r="H278" s="43" t="s">
        <v>41</v>
      </c>
      <c r="I278" s="92" t="s">
        <v>1231</v>
      </c>
      <c r="J278" s="41" t="s">
        <v>44</v>
      </c>
      <c r="K278" s="38">
        <v>38</v>
      </c>
      <c r="L278" s="89" t="s">
        <v>29</v>
      </c>
      <c r="M278" s="33"/>
      <c r="N278" s="198"/>
      <c r="O278" s="30"/>
      <c r="P278" s="24"/>
      <c r="Q278" s="210"/>
      <c r="R278" s="211"/>
      <c r="S278" s="210"/>
      <c r="T278" s="36"/>
    </row>
    <row r="279" spans="1:20" ht="30" customHeight="1" x14ac:dyDescent="0.25">
      <c r="A279" s="24">
        <f t="shared" si="10"/>
        <v>254</v>
      </c>
      <c r="B279" s="23" t="s">
        <v>1194</v>
      </c>
      <c r="C279" s="24"/>
      <c r="D279" s="24" t="s">
        <v>185</v>
      </c>
      <c r="E279" s="30" t="s">
        <v>672</v>
      </c>
      <c r="F279" s="30" t="s">
        <v>1195</v>
      </c>
      <c r="G279" s="33"/>
      <c r="H279" s="43" t="s">
        <v>41</v>
      </c>
      <c r="I279" s="92" t="s">
        <v>1232</v>
      </c>
      <c r="J279" s="41" t="s">
        <v>44</v>
      </c>
      <c r="K279" s="38">
        <v>39</v>
      </c>
      <c r="L279" s="63" t="s">
        <v>1233</v>
      </c>
      <c r="M279" s="46"/>
      <c r="N279" s="48"/>
      <c r="O279" s="49"/>
      <c r="P279" s="46"/>
      <c r="Q279" s="50"/>
      <c r="R279" s="46"/>
      <c r="S279" s="50"/>
      <c r="T279" s="46"/>
    </row>
    <row r="280" spans="1:20" ht="30" customHeight="1" x14ac:dyDescent="0.25">
      <c r="A280" s="24">
        <f t="shared" si="10"/>
        <v>255</v>
      </c>
      <c r="B280" s="23" t="s">
        <v>1194</v>
      </c>
      <c r="C280" s="24"/>
      <c r="D280" s="24" t="s">
        <v>185</v>
      </c>
      <c r="E280" s="30" t="s">
        <v>672</v>
      </c>
      <c r="F280" s="30" t="s">
        <v>1195</v>
      </c>
      <c r="G280" s="33"/>
      <c r="H280" s="43" t="s">
        <v>41</v>
      </c>
      <c r="I280" s="92" t="s">
        <v>1234</v>
      </c>
      <c r="J280" s="41" t="s">
        <v>44</v>
      </c>
      <c r="K280" s="156" t="s">
        <v>44</v>
      </c>
      <c r="L280" s="216" t="s">
        <v>1235</v>
      </c>
      <c r="M280" s="33">
        <v>30555</v>
      </c>
      <c r="N280" s="40" t="s">
        <v>271</v>
      </c>
      <c r="O280" s="30" t="s">
        <v>47</v>
      </c>
      <c r="P280" s="24" t="s">
        <v>48</v>
      </c>
      <c r="Q280" s="35" t="s">
        <v>1236</v>
      </c>
      <c r="R280" s="30">
        <v>3</v>
      </c>
      <c r="S280" s="35" t="s">
        <v>1237</v>
      </c>
      <c r="T280" s="53" t="s">
        <v>1238</v>
      </c>
    </row>
    <row r="281" spans="1:20" ht="30" customHeight="1" x14ac:dyDescent="0.25">
      <c r="A281" s="24">
        <f t="shared" si="10"/>
        <v>256</v>
      </c>
      <c r="B281" s="23" t="s">
        <v>1194</v>
      </c>
      <c r="C281" s="24"/>
      <c r="D281" s="24"/>
      <c r="E281" s="30" t="s">
        <v>672</v>
      </c>
      <c r="F281" s="30" t="s">
        <v>1195</v>
      </c>
      <c r="G281" s="33"/>
      <c r="H281" s="43" t="s">
        <v>41</v>
      </c>
      <c r="I281" s="91" t="s">
        <v>1239</v>
      </c>
      <c r="J281" s="41" t="s">
        <v>68</v>
      </c>
      <c r="K281" s="41" t="s">
        <v>44</v>
      </c>
      <c r="L281" s="93" t="s">
        <v>1240</v>
      </c>
      <c r="M281" s="33">
        <v>35075</v>
      </c>
      <c r="N281" s="40" t="s">
        <v>1241</v>
      </c>
      <c r="O281" s="30" t="s">
        <v>47</v>
      </c>
      <c r="P281" s="24" t="s">
        <v>37</v>
      </c>
      <c r="Q281" s="35" t="s">
        <v>1242</v>
      </c>
      <c r="R281" s="30"/>
      <c r="S281" s="35" t="s">
        <v>1243</v>
      </c>
      <c r="T281" s="53" t="s">
        <v>1244</v>
      </c>
    </row>
    <row r="282" spans="1:20" ht="30" customHeight="1" x14ac:dyDescent="0.25">
      <c r="A282" s="24">
        <f t="shared" si="10"/>
        <v>257</v>
      </c>
      <c r="B282" s="23" t="s">
        <v>1194</v>
      </c>
      <c r="C282" s="24"/>
      <c r="D282" s="24" t="s">
        <v>185</v>
      </c>
      <c r="E282" s="30" t="s">
        <v>672</v>
      </c>
      <c r="F282" s="30" t="s">
        <v>1195</v>
      </c>
      <c r="G282" s="33"/>
      <c r="H282" s="43" t="s">
        <v>41</v>
      </c>
      <c r="I282" s="96" t="s">
        <v>1245</v>
      </c>
      <c r="J282" s="41" t="s">
        <v>44</v>
      </c>
      <c r="K282" s="41" t="s">
        <v>44</v>
      </c>
      <c r="L282" s="129" t="s">
        <v>1246</v>
      </c>
      <c r="M282" s="33">
        <v>32974</v>
      </c>
      <c r="N282" s="40" t="s">
        <v>1204</v>
      </c>
      <c r="O282" s="30" t="s">
        <v>47</v>
      </c>
      <c r="P282" s="24" t="s">
        <v>48</v>
      </c>
      <c r="Q282" s="35" t="s">
        <v>1247</v>
      </c>
      <c r="R282" s="30">
        <v>1</v>
      </c>
      <c r="S282" s="35" t="s">
        <v>1248</v>
      </c>
      <c r="T282" s="53" t="s">
        <v>1249</v>
      </c>
    </row>
    <row r="283" spans="1:20" ht="30" customHeight="1" x14ac:dyDescent="0.25">
      <c r="A283" s="24">
        <f t="shared" si="10"/>
        <v>258</v>
      </c>
      <c r="B283" s="23" t="s">
        <v>1194</v>
      </c>
      <c r="C283" s="24"/>
      <c r="D283" s="24" t="s">
        <v>185</v>
      </c>
      <c r="E283" s="30" t="s">
        <v>672</v>
      </c>
      <c r="F283" s="30" t="s">
        <v>1195</v>
      </c>
      <c r="G283" s="33"/>
      <c r="H283" s="43" t="s">
        <v>41</v>
      </c>
      <c r="I283" s="92" t="s">
        <v>1250</v>
      </c>
      <c r="J283" s="41" t="s">
        <v>44</v>
      </c>
      <c r="K283" s="41" t="s">
        <v>100</v>
      </c>
      <c r="L283" s="142" t="s">
        <v>1251</v>
      </c>
      <c r="M283" s="33">
        <v>35996</v>
      </c>
      <c r="N283" s="40" t="s">
        <v>1252</v>
      </c>
      <c r="O283" s="24" t="s">
        <v>47</v>
      </c>
      <c r="P283" s="24" t="s">
        <v>37</v>
      </c>
      <c r="Q283" s="35" t="s">
        <v>1253</v>
      </c>
      <c r="R283" s="30"/>
      <c r="S283" s="35" t="s">
        <v>1254</v>
      </c>
      <c r="T283" s="47" t="s">
        <v>1255</v>
      </c>
    </row>
    <row r="284" spans="1:20" ht="30" customHeight="1" x14ac:dyDescent="0.25">
      <c r="A284" s="24">
        <f t="shared" si="10"/>
        <v>259</v>
      </c>
      <c r="B284" s="23" t="s">
        <v>1194</v>
      </c>
      <c r="C284" s="24"/>
      <c r="D284" s="24" t="s">
        <v>185</v>
      </c>
      <c r="E284" s="30" t="s">
        <v>672</v>
      </c>
      <c r="F284" s="30" t="s">
        <v>1195</v>
      </c>
      <c r="G284" s="33"/>
      <c r="H284" s="43" t="s">
        <v>41</v>
      </c>
      <c r="I284" s="92" t="s">
        <v>1256</v>
      </c>
      <c r="J284" s="41" t="s">
        <v>44</v>
      </c>
      <c r="K284" s="41" t="s">
        <v>44</v>
      </c>
      <c r="L284" s="93" t="s">
        <v>1257</v>
      </c>
      <c r="M284" s="33">
        <v>35038</v>
      </c>
      <c r="N284" s="40" t="s">
        <v>1258</v>
      </c>
      <c r="O284" s="30" t="s">
        <v>370</v>
      </c>
      <c r="P284" s="24" t="s">
        <v>48</v>
      </c>
      <c r="Q284" s="35" t="s">
        <v>1259</v>
      </c>
      <c r="R284" s="30"/>
      <c r="S284" s="35" t="s">
        <v>84</v>
      </c>
      <c r="T284" s="53" t="s">
        <v>1260</v>
      </c>
    </row>
    <row r="285" spans="1:20" ht="30" customHeight="1" x14ac:dyDescent="0.25">
      <c r="A285" s="24">
        <f t="shared" si="10"/>
        <v>260</v>
      </c>
      <c r="B285" s="23" t="s">
        <v>1194</v>
      </c>
      <c r="C285" s="24"/>
      <c r="D285" s="24" t="s">
        <v>185</v>
      </c>
      <c r="E285" s="30" t="s">
        <v>672</v>
      </c>
      <c r="F285" s="30" t="s">
        <v>1195</v>
      </c>
      <c r="G285" s="33"/>
      <c r="H285" s="43" t="s">
        <v>41</v>
      </c>
      <c r="I285" s="92" t="s">
        <v>1261</v>
      </c>
      <c r="J285" s="41" t="s">
        <v>44</v>
      </c>
      <c r="K285" s="41" t="s">
        <v>44</v>
      </c>
      <c r="L285" s="93" t="s">
        <v>1262</v>
      </c>
      <c r="M285" s="33">
        <v>35396</v>
      </c>
      <c r="N285" s="40" t="s">
        <v>1263</v>
      </c>
      <c r="O285" s="30" t="s">
        <v>370</v>
      </c>
      <c r="P285" s="24" t="s">
        <v>37</v>
      </c>
      <c r="Q285" s="35" t="s">
        <v>1264</v>
      </c>
      <c r="R285" s="30"/>
      <c r="S285" s="35" t="s">
        <v>84</v>
      </c>
      <c r="T285" s="53" t="s">
        <v>1265</v>
      </c>
    </row>
    <row r="286" spans="1:20" ht="30" customHeight="1" x14ac:dyDescent="0.25">
      <c r="A286" s="24">
        <f t="shared" si="10"/>
        <v>261</v>
      </c>
      <c r="B286" s="23" t="s">
        <v>1194</v>
      </c>
      <c r="C286" s="24"/>
      <c r="D286" s="24"/>
      <c r="E286" s="30" t="s">
        <v>672</v>
      </c>
      <c r="F286" s="30" t="s">
        <v>1195</v>
      </c>
      <c r="G286" s="33"/>
      <c r="H286" s="43" t="s">
        <v>41</v>
      </c>
      <c r="I286" s="91" t="s">
        <v>1266</v>
      </c>
      <c r="J286" s="41" t="s">
        <v>68</v>
      </c>
      <c r="K286" s="41" t="s">
        <v>44</v>
      </c>
      <c r="L286" s="89" t="s">
        <v>1267</v>
      </c>
      <c r="M286" s="33">
        <v>31146</v>
      </c>
      <c r="N286" s="40" t="s">
        <v>1268</v>
      </c>
      <c r="O286" s="30" t="s">
        <v>47</v>
      </c>
      <c r="P286" s="24" t="s">
        <v>48</v>
      </c>
      <c r="Q286" s="35" t="s">
        <v>1269</v>
      </c>
      <c r="R286" s="30">
        <v>2</v>
      </c>
      <c r="S286" s="35" t="s">
        <v>1270</v>
      </c>
      <c r="T286" s="53" t="s">
        <v>1271</v>
      </c>
    </row>
    <row r="287" spans="1:20" ht="30" customHeight="1" x14ac:dyDescent="0.25">
      <c r="A287" s="24">
        <f t="shared" si="10"/>
        <v>262</v>
      </c>
      <c r="B287" s="23" t="s">
        <v>1194</v>
      </c>
      <c r="C287" s="24"/>
      <c r="D287" s="24" t="s">
        <v>185</v>
      </c>
      <c r="E287" s="30" t="s">
        <v>672</v>
      </c>
      <c r="F287" s="30" t="s">
        <v>1195</v>
      </c>
      <c r="G287" s="33"/>
      <c r="H287" s="43" t="s">
        <v>41</v>
      </c>
      <c r="I287" s="96" t="s">
        <v>1272</v>
      </c>
      <c r="J287" s="41" t="s">
        <v>44</v>
      </c>
      <c r="K287" s="41" t="s">
        <v>100</v>
      </c>
      <c r="L287" s="142" t="s">
        <v>1273</v>
      </c>
      <c r="M287" s="33">
        <v>35202</v>
      </c>
      <c r="N287" s="198" t="s">
        <v>1274</v>
      </c>
      <c r="O287" s="24" t="s">
        <v>47</v>
      </c>
      <c r="P287" s="24" t="s">
        <v>48</v>
      </c>
      <c r="Q287" s="210" t="s">
        <v>1275</v>
      </c>
      <c r="R287" s="24">
        <v>1</v>
      </c>
      <c r="S287" s="211" t="s">
        <v>1276</v>
      </c>
      <c r="T287" s="36" t="s">
        <v>1277</v>
      </c>
    </row>
    <row r="288" spans="1:20" ht="30" customHeight="1" x14ac:dyDescent="0.25">
      <c r="A288" s="24">
        <f t="shared" si="10"/>
        <v>263</v>
      </c>
      <c r="B288" s="23" t="s">
        <v>1194</v>
      </c>
      <c r="C288" s="24"/>
      <c r="D288" s="24" t="s">
        <v>185</v>
      </c>
      <c r="E288" s="30" t="s">
        <v>672</v>
      </c>
      <c r="F288" s="30" t="s">
        <v>1195</v>
      </c>
      <c r="G288" s="33"/>
      <c r="H288" s="43" t="s">
        <v>41</v>
      </c>
      <c r="I288" s="92" t="s">
        <v>1278</v>
      </c>
      <c r="J288" s="41" t="s">
        <v>44</v>
      </c>
      <c r="K288" s="38">
        <v>40</v>
      </c>
      <c r="L288" s="89" t="s">
        <v>29</v>
      </c>
      <c r="M288" s="46"/>
      <c r="N288" s="48"/>
      <c r="O288" s="49"/>
      <c r="P288" s="46"/>
      <c r="Q288" s="50"/>
      <c r="R288" s="46"/>
      <c r="S288" s="50"/>
      <c r="T288" s="46"/>
    </row>
    <row r="289" spans="1:20" ht="30" customHeight="1" x14ac:dyDescent="0.25">
      <c r="A289" s="24">
        <f t="shared" si="10"/>
        <v>264</v>
      </c>
      <c r="B289" s="23" t="s">
        <v>1194</v>
      </c>
      <c r="C289" s="24"/>
      <c r="D289" s="24" t="s">
        <v>185</v>
      </c>
      <c r="E289" s="30" t="s">
        <v>672</v>
      </c>
      <c r="F289" s="30" t="s">
        <v>1195</v>
      </c>
      <c r="G289" s="33"/>
      <c r="H289" s="43" t="s">
        <v>41</v>
      </c>
      <c r="I289" s="92" t="s">
        <v>1279</v>
      </c>
      <c r="J289" s="41" t="s">
        <v>44</v>
      </c>
      <c r="K289" s="38">
        <v>41</v>
      </c>
      <c r="L289" s="89" t="s">
        <v>29</v>
      </c>
      <c r="M289" s="46"/>
      <c r="N289" s="48"/>
      <c r="O289" s="49"/>
      <c r="P289" s="46"/>
      <c r="Q289" s="50"/>
      <c r="R289" s="46"/>
      <c r="S289" s="50"/>
      <c r="T289" s="46"/>
    </row>
    <row r="290" spans="1:20" ht="30" customHeight="1" x14ac:dyDescent="0.25">
      <c r="A290" s="24">
        <f t="shared" si="10"/>
        <v>265</v>
      </c>
      <c r="B290" s="23" t="s">
        <v>1194</v>
      </c>
      <c r="C290" s="24"/>
      <c r="D290" s="24" t="s">
        <v>185</v>
      </c>
      <c r="E290" s="30" t="s">
        <v>672</v>
      </c>
      <c r="F290" s="30" t="s">
        <v>1195</v>
      </c>
      <c r="G290" s="33"/>
      <c r="H290" s="43" t="s">
        <v>41</v>
      </c>
      <c r="I290" s="92" t="s">
        <v>1280</v>
      </c>
      <c r="J290" s="41" t="s">
        <v>44</v>
      </c>
      <c r="K290" s="41" t="s">
        <v>44</v>
      </c>
      <c r="L290" s="89" t="s">
        <v>1281</v>
      </c>
      <c r="M290" s="33">
        <v>29532</v>
      </c>
      <c r="N290" s="40" t="s">
        <v>153</v>
      </c>
      <c r="O290" s="30" t="s">
        <v>47</v>
      </c>
      <c r="P290" s="30" t="s">
        <v>48</v>
      </c>
      <c r="Q290" s="35" t="s">
        <v>1282</v>
      </c>
      <c r="R290" s="30">
        <v>1</v>
      </c>
      <c r="S290" s="35" t="s">
        <v>1283</v>
      </c>
      <c r="T290" s="53" t="s">
        <v>1284</v>
      </c>
    </row>
    <row r="291" spans="1:20" ht="30" customHeight="1" x14ac:dyDescent="0.25">
      <c r="A291" s="24">
        <f t="shared" si="10"/>
        <v>266</v>
      </c>
      <c r="B291" s="23" t="s">
        <v>93</v>
      </c>
      <c r="C291" s="24"/>
      <c r="D291" s="67" t="s">
        <v>185</v>
      </c>
      <c r="E291" s="68" t="s">
        <v>672</v>
      </c>
      <c r="F291" s="68" t="s">
        <v>1195</v>
      </c>
      <c r="G291" s="69"/>
      <c r="H291" s="37" t="s">
        <v>27</v>
      </c>
      <c r="I291" s="92" t="s">
        <v>1285</v>
      </c>
      <c r="J291" s="41" t="s">
        <v>44</v>
      </c>
      <c r="K291" s="41" t="s">
        <v>100</v>
      </c>
      <c r="L291" s="217" t="s">
        <v>1286</v>
      </c>
      <c r="M291" s="33">
        <v>32807</v>
      </c>
      <c r="N291" s="40" t="s">
        <v>1287</v>
      </c>
      <c r="O291" s="30" t="s">
        <v>1288</v>
      </c>
      <c r="P291" s="30" t="s">
        <v>37</v>
      </c>
      <c r="Q291" s="35" t="s">
        <v>1289</v>
      </c>
      <c r="R291" s="30"/>
      <c r="S291" s="35" t="s">
        <v>1290</v>
      </c>
      <c r="T291" s="53" t="s">
        <v>1291</v>
      </c>
    </row>
    <row r="292" spans="1:20" ht="30" customHeight="1" x14ac:dyDescent="0.25">
      <c r="A292" s="70" t="e">
        <f>REPT(#REF!,#REF!)</f>
        <v>#REF!</v>
      </c>
      <c r="B292" s="71"/>
      <c r="C292" s="72"/>
      <c r="D292" s="72"/>
      <c r="E292" s="180" t="s">
        <v>672</v>
      </c>
      <c r="F292" s="74" t="e">
        <f>REPT(#REF!,#REF!)</f>
        <v>#REF!</v>
      </c>
      <c r="G292" s="75"/>
      <c r="H292" s="75"/>
      <c r="I292" s="76"/>
      <c r="J292" s="138"/>
      <c r="K292" s="138"/>
      <c r="L292" s="139"/>
      <c r="M292" s="183"/>
      <c r="N292" s="178"/>
      <c r="O292" s="184"/>
      <c r="P292" s="185"/>
      <c r="Q292" s="185"/>
      <c r="R292" s="185"/>
      <c r="S292" s="186"/>
      <c r="T292" s="187"/>
    </row>
    <row r="293" spans="1:20" ht="30" customHeight="1" x14ac:dyDescent="0.25">
      <c r="A293" s="24">
        <f>A291+1</f>
        <v>267</v>
      </c>
      <c r="B293" s="23" t="s">
        <v>200</v>
      </c>
      <c r="C293" s="24"/>
      <c r="D293" s="25"/>
      <c r="E293" s="26" t="s">
        <v>672</v>
      </c>
      <c r="F293" s="26" t="s">
        <v>1292</v>
      </c>
      <c r="G293" s="218"/>
      <c r="H293" s="37" t="s">
        <v>27</v>
      </c>
      <c r="I293" s="88" t="s">
        <v>1293</v>
      </c>
      <c r="J293" s="41" t="s">
        <v>33</v>
      </c>
      <c r="K293" s="128" t="s">
        <v>43</v>
      </c>
      <c r="L293" s="164" t="s">
        <v>1294</v>
      </c>
      <c r="M293" s="33">
        <v>30698</v>
      </c>
      <c r="N293" s="40" t="s">
        <v>1295</v>
      </c>
      <c r="O293" s="30" t="s">
        <v>47</v>
      </c>
      <c r="P293" s="30" t="s">
        <v>48</v>
      </c>
      <c r="Q293" s="35" t="s">
        <v>1296</v>
      </c>
      <c r="R293" s="30">
        <v>1</v>
      </c>
      <c r="S293" s="35" t="s">
        <v>782</v>
      </c>
      <c r="T293" s="53" t="s">
        <v>1297</v>
      </c>
    </row>
    <row r="294" spans="1:20" ht="30" customHeight="1" x14ac:dyDescent="0.25">
      <c r="A294" s="24">
        <f t="shared" ref="A294:A309" si="11">A293+1</f>
        <v>268</v>
      </c>
      <c r="B294" s="23" t="s">
        <v>200</v>
      </c>
      <c r="C294" s="24"/>
      <c r="D294" s="24"/>
      <c r="E294" s="30" t="s">
        <v>672</v>
      </c>
      <c r="F294" s="30" t="s">
        <v>1292</v>
      </c>
      <c r="G294" s="219"/>
      <c r="H294" s="37" t="s">
        <v>27</v>
      </c>
      <c r="I294" s="90" t="s">
        <v>1298</v>
      </c>
      <c r="J294" s="41" t="s">
        <v>43</v>
      </c>
      <c r="K294" s="41" t="s">
        <v>68</v>
      </c>
      <c r="L294" s="65" t="s">
        <v>1299</v>
      </c>
      <c r="M294" s="46"/>
      <c r="N294" s="48"/>
      <c r="O294" s="49"/>
      <c r="P294" s="46"/>
      <c r="Q294" s="50"/>
      <c r="R294" s="46"/>
      <c r="S294" s="50"/>
      <c r="T294" s="46"/>
    </row>
    <row r="295" spans="1:20" ht="30" customHeight="1" x14ac:dyDescent="0.25">
      <c r="A295" s="24">
        <f t="shared" si="11"/>
        <v>269</v>
      </c>
      <c r="B295" s="23" t="s">
        <v>200</v>
      </c>
      <c r="C295" s="24" t="s">
        <v>313</v>
      </c>
      <c r="D295" s="24"/>
      <c r="E295" s="30" t="s">
        <v>672</v>
      </c>
      <c r="F295" s="30" t="s">
        <v>1292</v>
      </c>
      <c r="G295" s="219"/>
      <c r="H295" s="37" t="s">
        <v>27</v>
      </c>
      <c r="I295" s="90" t="s">
        <v>1300</v>
      </c>
      <c r="J295" s="41" t="s">
        <v>43</v>
      </c>
      <c r="K295" s="41" t="s">
        <v>68</v>
      </c>
      <c r="L295" s="45" t="s">
        <v>1301</v>
      </c>
      <c r="M295" s="33">
        <v>31266</v>
      </c>
      <c r="N295" s="40" t="s">
        <v>1302</v>
      </c>
      <c r="O295" s="30" t="s">
        <v>208</v>
      </c>
      <c r="P295" s="30" t="s">
        <v>48</v>
      </c>
      <c r="Q295" s="35" t="s">
        <v>1303</v>
      </c>
      <c r="R295" s="30">
        <v>2</v>
      </c>
      <c r="S295" s="35" t="s">
        <v>72</v>
      </c>
      <c r="T295" s="53" t="s">
        <v>1304</v>
      </c>
    </row>
    <row r="296" spans="1:20" ht="30" customHeight="1" x14ac:dyDescent="0.25">
      <c r="A296" s="24">
        <f t="shared" si="11"/>
        <v>270</v>
      </c>
      <c r="B296" s="23" t="s">
        <v>200</v>
      </c>
      <c r="C296" s="24"/>
      <c r="D296" s="24" t="s">
        <v>185</v>
      </c>
      <c r="E296" s="30" t="s">
        <v>672</v>
      </c>
      <c r="F296" s="30" t="s">
        <v>1292</v>
      </c>
      <c r="G296" s="219"/>
      <c r="H296" s="37" t="s">
        <v>27</v>
      </c>
      <c r="I296" s="44" t="s">
        <v>1305</v>
      </c>
      <c r="J296" s="41" t="s">
        <v>44</v>
      </c>
      <c r="K296" s="38">
        <v>42</v>
      </c>
      <c r="L296" s="45" t="s">
        <v>29</v>
      </c>
      <c r="M296" s="46"/>
      <c r="N296" s="48"/>
      <c r="O296" s="49"/>
      <c r="P296" s="46"/>
      <c r="Q296" s="50"/>
      <c r="R296" s="46"/>
      <c r="S296" s="50"/>
      <c r="T296" s="46"/>
    </row>
    <row r="297" spans="1:20" ht="30" customHeight="1" x14ac:dyDescent="0.25">
      <c r="A297" s="24">
        <f t="shared" si="11"/>
        <v>271</v>
      </c>
      <c r="B297" s="23" t="s">
        <v>200</v>
      </c>
      <c r="C297" s="24"/>
      <c r="D297" s="24"/>
      <c r="E297" s="30" t="s">
        <v>672</v>
      </c>
      <c r="F297" s="30" t="s">
        <v>1292</v>
      </c>
      <c r="G297" s="33"/>
      <c r="H297" s="43" t="s">
        <v>41</v>
      </c>
      <c r="I297" s="91" t="s">
        <v>1306</v>
      </c>
      <c r="J297" s="41" t="s">
        <v>68</v>
      </c>
      <c r="K297" s="41" t="s">
        <v>44</v>
      </c>
      <c r="L297" s="45" t="s">
        <v>1307</v>
      </c>
      <c r="M297" s="33">
        <v>29039</v>
      </c>
      <c r="N297" s="40" t="s">
        <v>1308</v>
      </c>
      <c r="O297" s="30" t="s">
        <v>47</v>
      </c>
      <c r="P297" s="30" t="s">
        <v>48</v>
      </c>
      <c r="Q297" s="35" t="s">
        <v>1309</v>
      </c>
      <c r="R297" s="30">
        <v>2</v>
      </c>
      <c r="S297" s="35" t="s">
        <v>1310</v>
      </c>
      <c r="T297" s="53" t="s">
        <v>1311</v>
      </c>
    </row>
    <row r="298" spans="1:20" ht="30" customHeight="1" x14ac:dyDescent="0.25">
      <c r="A298" s="24">
        <f t="shared" si="11"/>
        <v>272</v>
      </c>
      <c r="B298" s="23" t="s">
        <v>200</v>
      </c>
      <c r="C298" s="24"/>
      <c r="D298" s="24" t="s">
        <v>185</v>
      </c>
      <c r="E298" s="30" t="s">
        <v>672</v>
      </c>
      <c r="F298" s="30" t="s">
        <v>1292</v>
      </c>
      <c r="G298" s="33"/>
      <c r="H298" s="43" t="s">
        <v>41</v>
      </c>
      <c r="I298" s="92" t="s">
        <v>1312</v>
      </c>
      <c r="J298" s="41" t="s">
        <v>44</v>
      </c>
      <c r="K298" s="38">
        <v>43</v>
      </c>
      <c r="L298" s="45" t="s">
        <v>29</v>
      </c>
      <c r="M298" s="46"/>
      <c r="N298" s="48"/>
      <c r="O298" s="49"/>
      <c r="P298" s="46"/>
      <c r="Q298" s="50"/>
      <c r="R298" s="46"/>
      <c r="S298" s="50"/>
      <c r="T298" s="46"/>
    </row>
    <row r="299" spans="1:20" ht="30" customHeight="1" x14ac:dyDescent="0.25">
      <c r="A299" s="24">
        <f t="shared" si="11"/>
        <v>273</v>
      </c>
      <c r="B299" s="23" t="s">
        <v>200</v>
      </c>
      <c r="C299" s="24"/>
      <c r="D299" s="24" t="s">
        <v>185</v>
      </c>
      <c r="E299" s="30" t="s">
        <v>672</v>
      </c>
      <c r="F299" s="30" t="s">
        <v>1292</v>
      </c>
      <c r="G299" s="33"/>
      <c r="H299" s="43" t="s">
        <v>41</v>
      </c>
      <c r="I299" s="102" t="s">
        <v>1313</v>
      </c>
      <c r="J299" s="117" t="s">
        <v>44</v>
      </c>
      <c r="K299" s="117" t="s">
        <v>44</v>
      </c>
      <c r="L299" s="144" t="s">
        <v>1314</v>
      </c>
      <c r="M299" s="33">
        <v>33539</v>
      </c>
      <c r="N299" s="40" t="s">
        <v>1315</v>
      </c>
      <c r="O299" s="30" t="s">
        <v>627</v>
      </c>
      <c r="P299" s="30" t="s">
        <v>48</v>
      </c>
      <c r="Q299" s="35" t="s">
        <v>1316</v>
      </c>
      <c r="R299" s="30">
        <v>1</v>
      </c>
      <c r="S299" s="35" t="s">
        <v>1317</v>
      </c>
      <c r="T299" s="53" t="s">
        <v>1318</v>
      </c>
    </row>
    <row r="300" spans="1:20" ht="30" customHeight="1" x14ac:dyDescent="0.25">
      <c r="A300" s="24">
        <f t="shared" si="11"/>
        <v>274</v>
      </c>
      <c r="B300" s="23" t="s">
        <v>200</v>
      </c>
      <c r="C300" s="24"/>
      <c r="D300" s="24" t="s">
        <v>185</v>
      </c>
      <c r="E300" s="30" t="s">
        <v>672</v>
      </c>
      <c r="F300" s="30" t="s">
        <v>1292</v>
      </c>
      <c r="G300" s="33"/>
      <c r="H300" s="43" t="s">
        <v>41</v>
      </c>
      <c r="I300" s="92" t="s">
        <v>1319</v>
      </c>
      <c r="J300" s="41" t="s">
        <v>44</v>
      </c>
      <c r="K300" s="41" t="s">
        <v>100</v>
      </c>
      <c r="L300" s="150" t="s">
        <v>1320</v>
      </c>
      <c r="M300" s="33">
        <v>35651</v>
      </c>
      <c r="N300" s="40" t="s">
        <v>1321</v>
      </c>
      <c r="O300" s="30" t="s">
        <v>47</v>
      </c>
      <c r="P300" s="30" t="s">
        <v>48</v>
      </c>
      <c r="Q300" s="35" t="s">
        <v>1322</v>
      </c>
      <c r="R300" s="30"/>
      <c r="S300" s="35" t="s">
        <v>1323</v>
      </c>
      <c r="T300" s="47" t="s">
        <v>1324</v>
      </c>
    </row>
    <row r="301" spans="1:20" ht="30" customHeight="1" x14ac:dyDescent="0.25">
      <c r="A301" s="24">
        <f t="shared" si="11"/>
        <v>275</v>
      </c>
      <c r="B301" s="23" t="s">
        <v>200</v>
      </c>
      <c r="C301" s="24"/>
      <c r="D301" s="24"/>
      <c r="E301" s="30" t="s">
        <v>672</v>
      </c>
      <c r="F301" s="30" t="s">
        <v>1292</v>
      </c>
      <c r="G301" s="33"/>
      <c r="H301" s="43" t="s">
        <v>41</v>
      </c>
      <c r="I301" s="91" t="s">
        <v>1325</v>
      </c>
      <c r="J301" s="41" t="s">
        <v>68</v>
      </c>
      <c r="K301" s="41" t="s">
        <v>100</v>
      </c>
      <c r="L301" s="45" t="s">
        <v>1326</v>
      </c>
      <c r="M301" s="33">
        <v>34043</v>
      </c>
      <c r="N301" s="40" t="s">
        <v>1327</v>
      </c>
      <c r="O301" s="30" t="s">
        <v>47</v>
      </c>
      <c r="P301" s="30" t="s">
        <v>37</v>
      </c>
      <c r="Q301" s="35" t="s">
        <v>1328</v>
      </c>
      <c r="R301" s="30"/>
      <c r="S301" s="35" t="s">
        <v>1329</v>
      </c>
      <c r="T301" s="53" t="s">
        <v>1330</v>
      </c>
    </row>
    <row r="302" spans="1:20" ht="30" customHeight="1" x14ac:dyDescent="0.25">
      <c r="A302" s="24">
        <f t="shared" si="11"/>
        <v>276</v>
      </c>
      <c r="B302" s="23" t="s">
        <v>200</v>
      </c>
      <c r="C302" s="24"/>
      <c r="D302" s="24" t="s">
        <v>185</v>
      </c>
      <c r="E302" s="30" t="s">
        <v>672</v>
      </c>
      <c r="F302" s="30" t="s">
        <v>1292</v>
      </c>
      <c r="G302" s="33"/>
      <c r="H302" s="43" t="s">
        <v>41</v>
      </c>
      <c r="I302" s="92" t="s">
        <v>1331</v>
      </c>
      <c r="J302" s="41" t="s">
        <v>44</v>
      </c>
      <c r="K302" s="38">
        <v>44</v>
      </c>
      <c r="L302" s="45" t="s">
        <v>29</v>
      </c>
      <c r="M302" s="33"/>
      <c r="N302" s="40"/>
      <c r="O302" s="30"/>
      <c r="P302" s="30"/>
      <c r="Q302" s="35"/>
      <c r="R302" s="30"/>
      <c r="S302" s="35"/>
      <c r="T302" s="36"/>
    </row>
    <row r="303" spans="1:20" ht="30" customHeight="1" x14ac:dyDescent="0.25">
      <c r="A303" s="24">
        <f t="shared" si="11"/>
        <v>277</v>
      </c>
      <c r="B303" s="23" t="s">
        <v>200</v>
      </c>
      <c r="C303" s="24"/>
      <c r="D303" s="24" t="s">
        <v>185</v>
      </c>
      <c r="E303" s="30" t="s">
        <v>672</v>
      </c>
      <c r="F303" s="30" t="s">
        <v>1292</v>
      </c>
      <c r="G303" s="33"/>
      <c r="H303" s="43" t="s">
        <v>41</v>
      </c>
      <c r="I303" s="220" t="s">
        <v>1332</v>
      </c>
      <c r="J303" s="128" t="s">
        <v>44</v>
      </c>
      <c r="K303" s="128" t="s">
        <v>100</v>
      </c>
      <c r="L303" s="221" t="s">
        <v>1333</v>
      </c>
      <c r="M303" s="33">
        <v>34510</v>
      </c>
      <c r="N303" s="40" t="s">
        <v>1334</v>
      </c>
      <c r="O303" s="30" t="s">
        <v>47</v>
      </c>
      <c r="P303" s="30" t="s">
        <v>48</v>
      </c>
      <c r="Q303" s="35" t="s">
        <v>1335</v>
      </c>
      <c r="R303" s="30"/>
      <c r="S303" s="35" t="s">
        <v>1336</v>
      </c>
      <c r="T303" s="53" t="s">
        <v>1337</v>
      </c>
    </row>
    <row r="304" spans="1:20" ht="30" customHeight="1" x14ac:dyDescent="0.25">
      <c r="A304" s="24">
        <f t="shared" si="11"/>
        <v>278</v>
      </c>
      <c r="B304" s="23" t="s">
        <v>200</v>
      </c>
      <c r="C304" s="24"/>
      <c r="D304" s="24" t="s">
        <v>185</v>
      </c>
      <c r="E304" s="30" t="s">
        <v>672</v>
      </c>
      <c r="F304" s="30" t="s">
        <v>1292</v>
      </c>
      <c r="G304" s="33"/>
      <c r="H304" s="43" t="s">
        <v>41</v>
      </c>
      <c r="I304" s="92" t="s">
        <v>1338</v>
      </c>
      <c r="J304" s="41" t="s">
        <v>44</v>
      </c>
      <c r="K304" s="38">
        <v>45</v>
      </c>
      <c r="L304" s="45" t="s">
        <v>29</v>
      </c>
      <c r="M304" s="33"/>
      <c r="N304" s="40"/>
      <c r="O304" s="30"/>
      <c r="P304" s="30"/>
      <c r="Q304" s="35"/>
      <c r="R304" s="30"/>
      <c r="S304" s="35"/>
      <c r="T304" s="36"/>
    </row>
    <row r="305" spans="1:20" ht="30" customHeight="1" x14ac:dyDescent="0.25">
      <c r="A305" s="24">
        <f t="shared" si="11"/>
        <v>279</v>
      </c>
      <c r="B305" s="23" t="s">
        <v>200</v>
      </c>
      <c r="C305" s="24"/>
      <c r="D305" s="24"/>
      <c r="E305" s="30" t="s">
        <v>672</v>
      </c>
      <c r="F305" s="30" t="s">
        <v>1292</v>
      </c>
      <c r="G305" s="33"/>
      <c r="H305" s="43" t="s">
        <v>41</v>
      </c>
      <c r="I305" s="91" t="s">
        <v>1339</v>
      </c>
      <c r="J305" s="41" t="s">
        <v>68</v>
      </c>
      <c r="K305" s="117" t="s">
        <v>68</v>
      </c>
      <c r="L305" s="144" t="s">
        <v>1340</v>
      </c>
      <c r="M305" s="33">
        <v>30667</v>
      </c>
      <c r="N305" s="40" t="s">
        <v>1341</v>
      </c>
      <c r="O305" s="30" t="s">
        <v>47</v>
      </c>
      <c r="P305" s="30" t="s">
        <v>48</v>
      </c>
      <c r="Q305" s="35" t="s">
        <v>1342</v>
      </c>
      <c r="R305" s="30">
        <v>2</v>
      </c>
      <c r="S305" s="35" t="s">
        <v>1343</v>
      </c>
      <c r="T305" s="36"/>
    </row>
    <row r="306" spans="1:20" ht="30" customHeight="1" x14ac:dyDescent="0.25">
      <c r="A306" s="24">
        <f t="shared" si="11"/>
        <v>280</v>
      </c>
      <c r="B306" s="23" t="s">
        <v>200</v>
      </c>
      <c r="C306" s="24"/>
      <c r="D306" s="24" t="s">
        <v>185</v>
      </c>
      <c r="E306" s="30" t="s">
        <v>672</v>
      </c>
      <c r="F306" s="30" t="s">
        <v>1292</v>
      </c>
      <c r="G306" s="33"/>
      <c r="H306" s="43" t="s">
        <v>41</v>
      </c>
      <c r="I306" s="92" t="s">
        <v>1344</v>
      </c>
      <c r="J306" s="117" t="s">
        <v>44</v>
      </c>
      <c r="K306" s="38">
        <v>46</v>
      </c>
      <c r="L306" s="63" t="s">
        <v>204</v>
      </c>
      <c r="M306" s="46"/>
      <c r="N306" s="48"/>
      <c r="O306" s="49"/>
      <c r="P306" s="46"/>
      <c r="Q306" s="50"/>
      <c r="R306" s="46"/>
      <c r="S306" s="50"/>
      <c r="T306" s="51"/>
    </row>
    <row r="307" spans="1:20" ht="30" customHeight="1" x14ac:dyDescent="0.25">
      <c r="A307" s="24">
        <f t="shared" si="11"/>
        <v>281</v>
      </c>
      <c r="B307" s="23" t="s">
        <v>200</v>
      </c>
      <c r="C307" s="24"/>
      <c r="D307" s="24" t="s">
        <v>185</v>
      </c>
      <c r="E307" s="30" t="s">
        <v>672</v>
      </c>
      <c r="F307" s="30" t="s">
        <v>1292</v>
      </c>
      <c r="G307" s="33"/>
      <c r="H307" s="43" t="s">
        <v>41</v>
      </c>
      <c r="I307" s="92" t="s">
        <v>1345</v>
      </c>
      <c r="J307" s="41" t="s">
        <v>44</v>
      </c>
      <c r="K307" s="128" t="s">
        <v>100</v>
      </c>
      <c r="L307" s="222" t="s">
        <v>1346</v>
      </c>
      <c r="M307" s="33">
        <v>35785</v>
      </c>
      <c r="N307" s="40" t="s">
        <v>1150</v>
      </c>
      <c r="O307" s="30" t="s">
        <v>47</v>
      </c>
      <c r="P307" s="30" t="s">
        <v>37</v>
      </c>
      <c r="Q307" s="35" t="s">
        <v>1347</v>
      </c>
      <c r="R307" s="30"/>
      <c r="S307" s="35" t="s">
        <v>1348</v>
      </c>
      <c r="T307" s="47" t="s">
        <v>1349</v>
      </c>
    </row>
    <row r="308" spans="1:20" ht="30" customHeight="1" x14ac:dyDescent="0.25">
      <c r="A308" s="24">
        <f t="shared" si="11"/>
        <v>282</v>
      </c>
      <c r="B308" s="23" t="s">
        <v>200</v>
      </c>
      <c r="C308" s="24"/>
      <c r="D308" s="24" t="s">
        <v>185</v>
      </c>
      <c r="E308" s="30" t="s">
        <v>672</v>
      </c>
      <c r="F308" s="30" t="s">
        <v>1292</v>
      </c>
      <c r="G308" s="33"/>
      <c r="H308" s="43" t="s">
        <v>41</v>
      </c>
      <c r="I308" s="92" t="s">
        <v>1350</v>
      </c>
      <c r="J308" s="41" t="s">
        <v>44</v>
      </c>
      <c r="K308" s="38">
        <v>47</v>
      </c>
      <c r="L308" s="63" t="s">
        <v>204</v>
      </c>
      <c r="M308" s="46"/>
      <c r="N308" s="48"/>
      <c r="O308" s="49"/>
      <c r="P308" s="46"/>
      <c r="Q308" s="50"/>
      <c r="R308" s="46"/>
      <c r="S308" s="50"/>
      <c r="T308" s="51"/>
    </row>
    <row r="309" spans="1:20" ht="30" customHeight="1" x14ac:dyDescent="0.25">
      <c r="A309" s="24">
        <f t="shared" si="11"/>
        <v>283</v>
      </c>
      <c r="B309" s="23" t="s">
        <v>93</v>
      </c>
      <c r="C309" s="24"/>
      <c r="D309" s="67" t="s">
        <v>185</v>
      </c>
      <c r="E309" s="68" t="s">
        <v>672</v>
      </c>
      <c r="F309" s="68" t="s">
        <v>1292</v>
      </c>
      <c r="G309" s="69"/>
      <c r="H309" s="37" t="s">
        <v>27</v>
      </c>
      <c r="I309" s="92" t="s">
        <v>1351</v>
      </c>
      <c r="J309" s="41" t="s">
        <v>44</v>
      </c>
      <c r="K309" s="38">
        <v>48</v>
      </c>
      <c r="L309" s="45" t="s">
        <v>29</v>
      </c>
      <c r="M309" s="46"/>
      <c r="N309" s="48"/>
      <c r="O309" s="49"/>
      <c r="P309" s="46"/>
      <c r="Q309" s="50"/>
      <c r="R309" s="46"/>
      <c r="S309" s="50"/>
      <c r="T309" s="46"/>
    </row>
    <row r="310" spans="1:20" ht="30" customHeight="1" x14ac:dyDescent="0.25">
      <c r="A310" s="70" t="e">
        <f>REPT(#REF!,#REF!)</f>
        <v>#REF!</v>
      </c>
      <c r="B310" s="71"/>
      <c r="C310" s="72"/>
      <c r="D310" s="72"/>
      <c r="E310" s="180" t="s">
        <v>672</v>
      </c>
      <c r="F310" s="74" t="e">
        <f>REPT(#REF!,#REF!)</f>
        <v>#REF!</v>
      </c>
      <c r="G310" s="75"/>
      <c r="H310" s="75"/>
      <c r="I310" s="76"/>
      <c r="J310" s="138"/>
      <c r="K310" s="138"/>
      <c r="L310" s="139"/>
      <c r="M310" s="183"/>
      <c r="N310" s="178"/>
      <c r="O310" s="184"/>
      <c r="P310" s="185"/>
      <c r="Q310" s="185"/>
      <c r="R310" s="185"/>
      <c r="S310" s="186"/>
      <c r="T310" s="187"/>
    </row>
    <row r="311" spans="1:20" ht="30" customHeight="1" x14ac:dyDescent="0.25">
      <c r="A311" s="24">
        <f>A309+1</f>
        <v>284</v>
      </c>
      <c r="B311" s="23" t="s">
        <v>200</v>
      </c>
      <c r="C311" s="24"/>
      <c r="D311" s="25"/>
      <c r="E311" s="26" t="s">
        <v>672</v>
      </c>
      <c r="F311" s="26" t="s">
        <v>1352</v>
      </c>
      <c r="G311" s="87"/>
      <c r="H311" s="223" t="s">
        <v>41</v>
      </c>
      <c r="I311" s="91" t="s">
        <v>1353</v>
      </c>
      <c r="J311" s="41" t="s">
        <v>68</v>
      </c>
      <c r="K311" s="224" t="s">
        <v>68</v>
      </c>
      <c r="L311" s="45" t="s">
        <v>1354</v>
      </c>
      <c r="M311" s="33">
        <v>30501</v>
      </c>
      <c r="N311" s="40" t="s">
        <v>1355</v>
      </c>
      <c r="O311" s="30" t="s">
        <v>47</v>
      </c>
      <c r="P311" s="30" t="s">
        <v>48</v>
      </c>
      <c r="Q311" s="35" t="s">
        <v>1356</v>
      </c>
      <c r="R311" s="30">
        <v>1</v>
      </c>
      <c r="S311" s="35" t="s">
        <v>1357</v>
      </c>
      <c r="T311" s="53" t="s">
        <v>1358</v>
      </c>
    </row>
    <row r="312" spans="1:20" ht="30" customHeight="1" x14ac:dyDescent="0.25">
      <c r="A312" s="24">
        <f>A311+1</f>
        <v>285</v>
      </c>
      <c r="B312" s="23" t="s">
        <v>200</v>
      </c>
      <c r="C312" s="24"/>
      <c r="D312" s="24" t="s">
        <v>185</v>
      </c>
      <c r="E312" s="30" t="s">
        <v>672</v>
      </c>
      <c r="F312" s="30" t="s">
        <v>1352</v>
      </c>
      <c r="G312" s="33"/>
      <c r="H312" s="43" t="s">
        <v>41</v>
      </c>
      <c r="I312" s="220" t="s">
        <v>1359</v>
      </c>
      <c r="J312" s="41" t="s">
        <v>44</v>
      </c>
      <c r="K312" s="41" t="s">
        <v>100</v>
      </c>
      <c r="L312" s="199" t="s">
        <v>1360</v>
      </c>
      <c r="M312" s="33">
        <v>35615</v>
      </c>
      <c r="N312" s="40" t="s">
        <v>1361</v>
      </c>
      <c r="O312" s="30" t="s">
        <v>47</v>
      </c>
      <c r="P312" s="30" t="s">
        <v>37</v>
      </c>
      <c r="Q312" s="35" t="s">
        <v>1362</v>
      </c>
      <c r="R312" s="30"/>
      <c r="S312" s="35" t="s">
        <v>1363</v>
      </c>
      <c r="T312" s="47" t="s">
        <v>1364</v>
      </c>
    </row>
    <row r="313" spans="1:20" ht="30" customHeight="1" x14ac:dyDescent="0.25">
      <c r="A313" s="24">
        <f>A312+1</f>
        <v>286</v>
      </c>
      <c r="B313" s="23" t="s">
        <v>200</v>
      </c>
      <c r="C313" s="24"/>
      <c r="D313" s="24" t="s">
        <v>185</v>
      </c>
      <c r="E313" s="30" t="s">
        <v>672</v>
      </c>
      <c r="F313" s="30" t="s">
        <v>1352</v>
      </c>
      <c r="G313" s="33"/>
      <c r="H313" s="43" t="s">
        <v>41</v>
      </c>
      <c r="I313" s="92" t="s">
        <v>1365</v>
      </c>
      <c r="J313" s="41" t="s">
        <v>44</v>
      </c>
      <c r="K313" s="38">
        <v>49</v>
      </c>
      <c r="L313" s="45" t="s">
        <v>29</v>
      </c>
      <c r="M313" s="33"/>
      <c r="N313" s="40"/>
      <c r="O313" s="30"/>
      <c r="P313" s="26"/>
      <c r="Q313" s="131"/>
      <c r="R313" s="26"/>
      <c r="S313" s="35"/>
      <c r="T313" s="36"/>
    </row>
    <row r="314" spans="1:20" ht="30" customHeight="1" x14ac:dyDescent="0.25">
      <c r="A314" s="24">
        <f>A313+1</f>
        <v>287</v>
      </c>
      <c r="B314" s="23" t="s">
        <v>200</v>
      </c>
      <c r="C314" s="24"/>
      <c r="D314" s="67" t="s">
        <v>185</v>
      </c>
      <c r="E314" s="68" t="s">
        <v>672</v>
      </c>
      <c r="F314" s="68" t="s">
        <v>1352</v>
      </c>
      <c r="G314" s="69"/>
      <c r="H314" s="116" t="s">
        <v>41</v>
      </c>
      <c r="I314" s="92" t="s">
        <v>1366</v>
      </c>
      <c r="J314" s="41" t="s">
        <v>44</v>
      </c>
      <c r="K314" s="41" t="s">
        <v>44</v>
      </c>
      <c r="L314" s="45" t="s">
        <v>1367</v>
      </c>
      <c r="M314" s="33">
        <v>32202</v>
      </c>
      <c r="N314" s="40" t="s">
        <v>1368</v>
      </c>
      <c r="O314" s="30" t="s">
        <v>47</v>
      </c>
      <c r="P314" s="26" t="s">
        <v>48</v>
      </c>
      <c r="Q314" s="35" t="s">
        <v>1369</v>
      </c>
      <c r="R314" s="30"/>
      <c r="S314" s="35" t="s">
        <v>1370</v>
      </c>
      <c r="T314" s="53" t="s">
        <v>1371</v>
      </c>
    </row>
    <row r="315" spans="1:20" ht="30" customHeight="1" x14ac:dyDescent="0.25">
      <c r="A315" s="70" t="e">
        <f>REPT(#REF!,#REF!)</f>
        <v>#REF!</v>
      </c>
      <c r="B315" s="71"/>
      <c r="C315" s="72"/>
      <c r="D315" s="72"/>
      <c r="E315" s="180" t="s">
        <v>672</v>
      </c>
      <c r="F315" s="74" t="e">
        <f>REPT(#REF!,#REF!)</f>
        <v>#REF!</v>
      </c>
      <c r="G315" s="104"/>
      <c r="H315" s="75"/>
      <c r="I315" s="105"/>
      <c r="J315" s="138"/>
      <c r="K315" s="138"/>
      <c r="L315" s="139"/>
      <c r="M315" s="76"/>
      <c r="N315" s="70"/>
      <c r="O315" s="140"/>
      <c r="P315" s="108"/>
      <c r="Q315" s="108"/>
      <c r="R315" s="108"/>
      <c r="S315" s="109"/>
      <c r="T315" s="104"/>
    </row>
    <row r="316" spans="1:20" ht="30" customHeight="1" x14ac:dyDescent="0.25">
      <c r="A316" s="24">
        <f>A314+1</f>
        <v>288</v>
      </c>
      <c r="B316" s="23" t="s">
        <v>213</v>
      </c>
      <c r="C316" s="24"/>
      <c r="D316" s="25"/>
      <c r="E316" s="26" t="s">
        <v>672</v>
      </c>
      <c r="F316" s="26" t="s">
        <v>1372</v>
      </c>
      <c r="G316" s="87"/>
      <c r="H316" s="110" t="s">
        <v>41</v>
      </c>
      <c r="I316" s="91" t="s">
        <v>1373</v>
      </c>
      <c r="J316" s="41" t="s">
        <v>68</v>
      </c>
      <c r="K316" s="30" t="s">
        <v>44</v>
      </c>
      <c r="L316" s="45" t="s">
        <v>1374</v>
      </c>
      <c r="M316" s="33">
        <v>33620</v>
      </c>
      <c r="N316" s="40" t="s">
        <v>1375</v>
      </c>
      <c r="O316" s="30" t="s">
        <v>47</v>
      </c>
      <c r="P316" s="30" t="s">
        <v>48</v>
      </c>
      <c r="Q316" s="35" t="s">
        <v>1376</v>
      </c>
      <c r="R316" s="30">
        <v>1</v>
      </c>
      <c r="S316" s="35" t="s">
        <v>1377</v>
      </c>
      <c r="T316" s="53" t="s">
        <v>1378</v>
      </c>
    </row>
    <row r="317" spans="1:20" ht="30" customHeight="1" x14ac:dyDescent="0.25">
      <c r="A317" s="24">
        <f>A316+1</f>
        <v>289</v>
      </c>
      <c r="B317" s="23" t="s">
        <v>213</v>
      </c>
      <c r="C317" s="24"/>
      <c r="D317" s="24" t="s">
        <v>185</v>
      </c>
      <c r="E317" s="30" t="s">
        <v>672</v>
      </c>
      <c r="F317" s="30" t="s">
        <v>1372</v>
      </c>
      <c r="G317" s="33"/>
      <c r="H317" s="43" t="s">
        <v>41</v>
      </c>
      <c r="I317" s="92" t="s">
        <v>1379</v>
      </c>
      <c r="J317" s="41" t="s">
        <v>44</v>
      </c>
      <c r="K317" s="41" t="s">
        <v>100</v>
      </c>
      <c r="L317" s="42" t="s">
        <v>1380</v>
      </c>
      <c r="M317" s="33">
        <v>35623</v>
      </c>
      <c r="N317" s="40" t="s">
        <v>1381</v>
      </c>
      <c r="O317" s="30" t="s">
        <v>47</v>
      </c>
      <c r="P317" s="30" t="s">
        <v>48</v>
      </c>
      <c r="Q317" s="35" t="s">
        <v>1382</v>
      </c>
      <c r="R317" s="30">
        <v>1</v>
      </c>
      <c r="S317" s="35" t="s">
        <v>1383</v>
      </c>
      <c r="T317" s="53" t="s">
        <v>1384</v>
      </c>
    </row>
    <row r="318" spans="1:20" ht="30" customHeight="1" x14ac:dyDescent="0.25">
      <c r="A318" s="24">
        <f>A317+1</f>
        <v>290</v>
      </c>
      <c r="B318" s="23" t="s">
        <v>213</v>
      </c>
      <c r="C318" s="24"/>
      <c r="D318" s="24" t="s">
        <v>185</v>
      </c>
      <c r="E318" s="30" t="s">
        <v>672</v>
      </c>
      <c r="F318" s="30" t="s">
        <v>1372</v>
      </c>
      <c r="G318" s="33"/>
      <c r="H318" s="43" t="s">
        <v>41</v>
      </c>
      <c r="I318" s="92" t="s">
        <v>1385</v>
      </c>
      <c r="J318" s="41" t="s">
        <v>44</v>
      </c>
      <c r="K318" s="41" t="s">
        <v>100</v>
      </c>
      <c r="L318" s="45" t="s">
        <v>1386</v>
      </c>
      <c r="M318" s="33">
        <v>33033</v>
      </c>
      <c r="N318" s="40" t="s">
        <v>534</v>
      </c>
      <c r="O318" s="30" t="s">
        <v>47</v>
      </c>
      <c r="P318" s="30" t="s">
        <v>48</v>
      </c>
      <c r="Q318" s="210" t="s">
        <v>1387</v>
      </c>
      <c r="R318" s="211"/>
      <c r="S318" s="210" t="s">
        <v>1388</v>
      </c>
      <c r="T318" s="225" t="s">
        <v>1389</v>
      </c>
    </row>
    <row r="319" spans="1:20" ht="30" customHeight="1" x14ac:dyDescent="0.25">
      <c r="A319" s="24">
        <f>A318+1</f>
        <v>291</v>
      </c>
      <c r="B319" s="23"/>
      <c r="C319" s="24"/>
      <c r="D319" s="24"/>
      <c r="E319" s="30" t="s">
        <v>672</v>
      </c>
      <c r="F319" s="30" t="s">
        <v>1372</v>
      </c>
      <c r="G319" s="33"/>
      <c r="H319" s="37"/>
      <c r="I319" s="92" t="s">
        <v>1390</v>
      </c>
      <c r="J319" s="41" t="s">
        <v>44</v>
      </c>
      <c r="K319" s="156" t="s">
        <v>100</v>
      </c>
      <c r="L319" s="170" t="s">
        <v>1391</v>
      </c>
      <c r="M319" s="154">
        <v>33872</v>
      </c>
      <c r="N319" s="171" t="s">
        <v>534</v>
      </c>
      <c r="O319" s="153" t="s">
        <v>370</v>
      </c>
      <c r="P319" s="153" t="s">
        <v>317</v>
      </c>
      <c r="Q319" s="172" t="s">
        <v>1392</v>
      </c>
      <c r="R319" s="153">
        <v>1</v>
      </c>
      <c r="S319" s="172" t="s">
        <v>1393</v>
      </c>
      <c r="T319" s="226" t="s">
        <v>1394</v>
      </c>
    </row>
    <row r="320" spans="1:20" ht="30" customHeight="1" x14ac:dyDescent="0.25">
      <c r="A320" s="24">
        <f>A319+1</f>
        <v>292</v>
      </c>
      <c r="B320" s="23"/>
      <c r="C320" s="24"/>
      <c r="D320" s="67"/>
      <c r="E320" s="68" t="s">
        <v>672</v>
      </c>
      <c r="F320" s="68" t="s">
        <v>1372</v>
      </c>
      <c r="G320" s="69"/>
      <c r="H320" s="37"/>
      <c r="I320" s="92" t="s">
        <v>1395</v>
      </c>
      <c r="J320" s="41" t="s">
        <v>44</v>
      </c>
      <c r="K320" s="41" t="s">
        <v>44</v>
      </c>
      <c r="L320" s="45" t="s">
        <v>1396</v>
      </c>
      <c r="M320" s="33">
        <v>30329</v>
      </c>
      <c r="N320" s="198" t="s">
        <v>1397</v>
      </c>
      <c r="O320" s="30" t="s">
        <v>1398</v>
      </c>
      <c r="P320" s="30" t="s">
        <v>37</v>
      </c>
      <c r="Q320" s="35" t="s">
        <v>1399</v>
      </c>
      <c r="R320" s="30"/>
      <c r="S320" s="35" t="s">
        <v>1400</v>
      </c>
      <c r="T320" s="53" t="s">
        <v>1401</v>
      </c>
    </row>
    <row r="321" spans="1:20" ht="30" customHeight="1" x14ac:dyDescent="0.25">
      <c r="A321" s="70" t="e">
        <f>REPT(#REF!,#REF!)</f>
        <v>#REF!</v>
      </c>
      <c r="B321" s="71"/>
      <c r="C321" s="72"/>
      <c r="D321" s="72"/>
      <c r="E321" s="180" t="s">
        <v>672</v>
      </c>
      <c r="F321" s="74" t="e">
        <f>REPT(#REF!,#REF!)</f>
        <v>#REF!</v>
      </c>
      <c r="G321" s="75"/>
      <c r="H321" s="75"/>
      <c r="I321" s="76"/>
      <c r="J321" s="138"/>
      <c r="K321" s="138"/>
      <c r="L321" s="139"/>
      <c r="M321" s="76"/>
      <c r="N321" s="70"/>
      <c r="O321" s="140"/>
      <c r="P321" s="108"/>
      <c r="Q321" s="108"/>
      <c r="R321" s="108"/>
      <c r="S321" s="109"/>
      <c r="T321" s="104"/>
    </row>
    <row r="322" spans="1:20" ht="30" customHeight="1" x14ac:dyDescent="0.25">
      <c r="A322" s="24">
        <f>A320+1</f>
        <v>293</v>
      </c>
      <c r="B322" s="23"/>
      <c r="C322" s="24"/>
      <c r="D322" s="25"/>
      <c r="E322" s="26" t="s">
        <v>672</v>
      </c>
      <c r="F322" s="26" t="s">
        <v>1402</v>
      </c>
      <c r="G322" s="87"/>
      <c r="H322" s="43" t="s">
        <v>41</v>
      </c>
      <c r="I322" s="91" t="s">
        <v>1403</v>
      </c>
      <c r="J322" s="41" t="s">
        <v>68</v>
      </c>
      <c r="K322" s="41" t="s">
        <v>44</v>
      </c>
      <c r="L322" s="56" t="s">
        <v>1404</v>
      </c>
      <c r="M322" s="33">
        <v>35489</v>
      </c>
      <c r="N322" s="40" t="s">
        <v>1405</v>
      </c>
      <c r="O322" s="30" t="s">
        <v>47</v>
      </c>
      <c r="P322" s="30" t="s">
        <v>48</v>
      </c>
      <c r="Q322" s="35" t="s">
        <v>1406</v>
      </c>
      <c r="R322" s="30">
        <v>2</v>
      </c>
      <c r="S322" s="35" t="s">
        <v>84</v>
      </c>
      <c r="T322" s="53" t="s">
        <v>1407</v>
      </c>
    </row>
    <row r="323" spans="1:20" ht="30" customHeight="1" x14ac:dyDescent="0.25">
      <c r="A323" s="24">
        <f>A322+1</f>
        <v>294</v>
      </c>
      <c r="B323" s="23"/>
      <c r="C323" s="24"/>
      <c r="D323" s="24" t="s">
        <v>185</v>
      </c>
      <c r="E323" s="30" t="s">
        <v>672</v>
      </c>
      <c r="F323" s="30" t="s">
        <v>1402</v>
      </c>
      <c r="G323" s="33"/>
      <c r="H323" s="43" t="s">
        <v>41</v>
      </c>
      <c r="I323" s="92" t="s">
        <v>1408</v>
      </c>
      <c r="J323" s="41" t="s">
        <v>44</v>
      </c>
      <c r="K323" s="41" t="s">
        <v>44</v>
      </c>
      <c r="L323" s="52" t="s">
        <v>1409</v>
      </c>
      <c r="M323" s="33">
        <v>34617</v>
      </c>
      <c r="N323" s="40" t="s">
        <v>451</v>
      </c>
      <c r="O323" s="30" t="s">
        <v>641</v>
      </c>
      <c r="P323" s="30" t="s">
        <v>48</v>
      </c>
      <c r="Q323" s="35" t="s">
        <v>1410</v>
      </c>
      <c r="R323" s="30"/>
      <c r="S323" s="35" t="s">
        <v>1411</v>
      </c>
      <c r="T323" s="53" t="s">
        <v>1412</v>
      </c>
    </row>
    <row r="324" spans="1:20" ht="30" customHeight="1" x14ac:dyDescent="0.25">
      <c r="A324" s="24">
        <f>A323+1</f>
        <v>295</v>
      </c>
      <c r="B324" s="23"/>
      <c r="C324" s="24"/>
      <c r="D324" s="24" t="s">
        <v>185</v>
      </c>
      <c r="E324" s="30" t="s">
        <v>672</v>
      </c>
      <c r="F324" s="30" t="s">
        <v>1402</v>
      </c>
      <c r="G324" s="33"/>
      <c r="H324" s="43" t="s">
        <v>41</v>
      </c>
      <c r="I324" s="92" t="s">
        <v>1413</v>
      </c>
      <c r="J324" s="41" t="s">
        <v>44</v>
      </c>
      <c r="K324" s="38">
        <v>50</v>
      </c>
      <c r="L324" s="63" t="s">
        <v>375</v>
      </c>
      <c r="M324" s="46"/>
      <c r="N324" s="48"/>
      <c r="O324" s="49"/>
      <c r="P324" s="46"/>
      <c r="Q324" s="50"/>
      <c r="R324" s="46"/>
      <c r="S324" s="50"/>
      <c r="T324" s="46"/>
    </row>
    <row r="325" spans="1:20" ht="30" customHeight="1" x14ac:dyDescent="0.25">
      <c r="A325" s="24">
        <f>A324+1</f>
        <v>296</v>
      </c>
      <c r="B325" s="23"/>
      <c r="C325" s="24"/>
      <c r="D325" s="67"/>
      <c r="E325" s="68" t="s">
        <v>672</v>
      </c>
      <c r="F325" s="68" t="s">
        <v>1402</v>
      </c>
      <c r="G325" s="69"/>
      <c r="H325" s="37"/>
      <c r="I325" s="92" t="s">
        <v>1414</v>
      </c>
      <c r="J325" s="41" t="s">
        <v>44</v>
      </c>
      <c r="K325" s="38">
        <v>51</v>
      </c>
      <c r="L325" s="99" t="s">
        <v>29</v>
      </c>
      <c r="M325" s="46"/>
      <c r="N325" s="48"/>
      <c r="O325" s="49"/>
      <c r="P325" s="46"/>
      <c r="Q325" s="50"/>
      <c r="R325" s="46"/>
      <c r="S325" s="50"/>
      <c r="T325" s="46"/>
    </row>
    <row r="326" spans="1:20" ht="30" customHeight="1" x14ac:dyDescent="0.25">
      <c r="A326" s="70" t="e">
        <f>REPT(#REF!,#REF!)</f>
        <v>#REF!</v>
      </c>
      <c r="B326" s="71"/>
      <c r="C326" s="72"/>
      <c r="D326" s="72"/>
      <c r="E326" s="180" t="s">
        <v>672</v>
      </c>
      <c r="F326" s="74" t="e">
        <f>REPT(#REF!,#REF!)</f>
        <v>#REF!</v>
      </c>
      <c r="G326" s="75"/>
      <c r="H326" s="75"/>
      <c r="I326" s="76"/>
      <c r="J326" s="138"/>
      <c r="K326" s="138"/>
      <c r="L326" s="139"/>
      <c r="M326" s="183"/>
      <c r="N326" s="178"/>
      <c r="O326" s="184"/>
      <c r="P326" s="185"/>
      <c r="Q326" s="185"/>
      <c r="R326" s="185"/>
      <c r="S326" s="186"/>
      <c r="T326" s="187"/>
    </row>
    <row r="327" spans="1:20" ht="30" customHeight="1" x14ac:dyDescent="0.25">
      <c r="A327" s="24">
        <f>A325+1</f>
        <v>297</v>
      </c>
      <c r="B327" s="23" t="s">
        <v>225</v>
      </c>
      <c r="C327" s="24"/>
      <c r="D327" s="25"/>
      <c r="E327" s="26" t="s">
        <v>672</v>
      </c>
      <c r="F327" s="26" t="s">
        <v>1415</v>
      </c>
      <c r="G327" s="87"/>
      <c r="H327" s="37" t="s">
        <v>27</v>
      </c>
      <c r="I327" s="91" t="s">
        <v>1416</v>
      </c>
      <c r="J327" s="128" t="s">
        <v>68</v>
      </c>
      <c r="K327" s="128" t="s">
        <v>44</v>
      </c>
      <c r="L327" s="227" t="s">
        <v>1417</v>
      </c>
      <c r="M327" s="33">
        <v>34497</v>
      </c>
      <c r="N327" s="40" t="s">
        <v>1418</v>
      </c>
      <c r="O327" s="30" t="s">
        <v>47</v>
      </c>
      <c r="P327" s="30" t="s">
        <v>48</v>
      </c>
      <c r="Q327" s="35" t="s">
        <v>1419</v>
      </c>
      <c r="R327" s="30">
        <v>1</v>
      </c>
      <c r="S327" s="35" t="s">
        <v>1420</v>
      </c>
      <c r="T327" s="53" t="s">
        <v>1421</v>
      </c>
    </row>
    <row r="328" spans="1:20" ht="30" customHeight="1" x14ac:dyDescent="0.25">
      <c r="A328" s="24">
        <f>A327+1</f>
        <v>298</v>
      </c>
      <c r="B328" s="23" t="s">
        <v>225</v>
      </c>
      <c r="C328" s="24"/>
      <c r="D328" s="24" t="s">
        <v>185</v>
      </c>
      <c r="E328" s="30" t="s">
        <v>672</v>
      </c>
      <c r="F328" s="30" t="s">
        <v>1415</v>
      </c>
      <c r="G328" s="33"/>
      <c r="H328" s="43" t="s">
        <v>41</v>
      </c>
      <c r="I328" s="92" t="s">
        <v>1422</v>
      </c>
      <c r="J328" s="41" t="s">
        <v>44</v>
      </c>
      <c r="K328" s="41" t="s">
        <v>44</v>
      </c>
      <c r="L328" s="228" t="s">
        <v>1423</v>
      </c>
      <c r="M328" s="33">
        <v>32475</v>
      </c>
      <c r="N328" s="40" t="s">
        <v>1424</v>
      </c>
      <c r="O328" s="30" t="s">
        <v>1425</v>
      </c>
      <c r="P328" s="30" t="s">
        <v>48</v>
      </c>
      <c r="Q328" s="35" t="s">
        <v>1426</v>
      </c>
      <c r="R328" s="30">
        <v>1</v>
      </c>
      <c r="S328" s="35" t="s">
        <v>1427</v>
      </c>
      <c r="T328" s="53" t="s">
        <v>1428</v>
      </c>
    </row>
    <row r="329" spans="1:20" ht="30" customHeight="1" x14ac:dyDescent="0.25">
      <c r="A329" s="24">
        <f>A328+1</f>
        <v>299</v>
      </c>
      <c r="B329" s="23" t="s">
        <v>225</v>
      </c>
      <c r="C329" s="24"/>
      <c r="D329" s="24" t="s">
        <v>185</v>
      </c>
      <c r="E329" s="30" t="s">
        <v>672</v>
      </c>
      <c r="F329" s="30" t="s">
        <v>1415</v>
      </c>
      <c r="G329" s="33"/>
      <c r="H329" s="43" t="s">
        <v>41</v>
      </c>
      <c r="I329" s="92" t="s">
        <v>1429</v>
      </c>
      <c r="J329" s="41" t="s">
        <v>44</v>
      </c>
      <c r="K329" s="117" t="s">
        <v>100</v>
      </c>
      <c r="L329" s="229" t="s">
        <v>1430</v>
      </c>
      <c r="M329" s="33">
        <v>33536</v>
      </c>
      <c r="N329" s="198" t="s">
        <v>1431</v>
      </c>
      <c r="O329" s="30" t="s">
        <v>47</v>
      </c>
      <c r="P329" s="30" t="s">
        <v>48</v>
      </c>
      <c r="Q329" s="210" t="s">
        <v>1432</v>
      </c>
      <c r="R329" s="211"/>
      <c r="S329" s="210" t="s">
        <v>1433</v>
      </c>
      <c r="T329" s="53" t="s">
        <v>1434</v>
      </c>
    </row>
    <row r="330" spans="1:20" ht="30" customHeight="1" x14ac:dyDescent="0.25">
      <c r="A330" s="24">
        <f>A329+1</f>
        <v>300</v>
      </c>
      <c r="B330" s="23"/>
      <c r="C330" s="24"/>
      <c r="D330" s="24"/>
      <c r="E330" s="30" t="s">
        <v>672</v>
      </c>
      <c r="F330" s="30" t="s">
        <v>1415</v>
      </c>
      <c r="G330" s="33"/>
      <c r="H330" s="37"/>
      <c r="I330" s="92" t="s">
        <v>473</v>
      </c>
      <c r="J330" s="41" t="s">
        <v>44</v>
      </c>
      <c r="K330" s="38">
        <v>52</v>
      </c>
      <c r="L330" s="63" t="s">
        <v>474</v>
      </c>
      <c r="M330" s="46"/>
      <c r="N330" s="48"/>
      <c r="O330" s="49"/>
      <c r="P330" s="46"/>
      <c r="Q330" s="50"/>
      <c r="R330" s="46"/>
      <c r="S330" s="50"/>
      <c r="T330" s="46"/>
    </row>
    <row r="331" spans="1:20" ht="30" customHeight="1" x14ac:dyDescent="0.25">
      <c r="A331" s="24">
        <f>A330+1</f>
        <v>301</v>
      </c>
      <c r="B331" s="23"/>
      <c r="C331" s="24"/>
      <c r="D331" s="67"/>
      <c r="E331" s="68" t="s">
        <v>672</v>
      </c>
      <c r="F331" s="68" t="s">
        <v>1415</v>
      </c>
      <c r="G331" s="69"/>
      <c r="H331" s="37"/>
      <c r="I331" s="92" t="s">
        <v>475</v>
      </c>
      <c r="J331" s="41" t="s">
        <v>44</v>
      </c>
      <c r="K331" s="128" t="s">
        <v>100</v>
      </c>
      <c r="L331" s="142" t="s">
        <v>1435</v>
      </c>
      <c r="M331" s="33">
        <v>35350</v>
      </c>
      <c r="N331" s="198" t="s">
        <v>1436</v>
      </c>
      <c r="O331" s="30" t="s">
        <v>47</v>
      </c>
      <c r="P331" s="30" t="s">
        <v>48</v>
      </c>
      <c r="Q331" s="210" t="s">
        <v>1437</v>
      </c>
      <c r="R331" s="30">
        <v>1</v>
      </c>
      <c r="S331" s="210" t="s">
        <v>1438</v>
      </c>
      <c r="T331" s="47" t="s">
        <v>1439</v>
      </c>
    </row>
    <row r="332" spans="1:20" ht="30" customHeight="1" x14ac:dyDescent="0.25">
      <c r="A332" s="70" t="e">
        <f>REPT(#REF!,#REF!)</f>
        <v>#REF!</v>
      </c>
      <c r="B332" s="71"/>
      <c r="C332" s="72"/>
      <c r="D332" s="72"/>
      <c r="E332" s="180" t="s">
        <v>672</v>
      </c>
      <c r="F332" s="74" t="e">
        <f>REPT(#REF!,#REF!)</f>
        <v>#REF!</v>
      </c>
      <c r="G332" s="75"/>
      <c r="H332" s="75"/>
      <c r="I332" s="76"/>
      <c r="J332" s="138"/>
      <c r="K332" s="138"/>
      <c r="L332" s="139"/>
      <c r="M332" s="183"/>
      <c r="N332" s="178"/>
      <c r="O332" s="184"/>
      <c r="P332" s="185"/>
      <c r="Q332" s="185"/>
      <c r="R332" s="185"/>
      <c r="S332" s="186"/>
      <c r="T332" s="187"/>
    </row>
    <row r="333" spans="1:20" ht="30" customHeight="1" x14ac:dyDescent="0.25">
      <c r="A333" s="24">
        <f>A331+1</f>
        <v>302</v>
      </c>
      <c r="B333" s="23"/>
      <c r="C333" s="24"/>
      <c r="D333" s="152"/>
      <c r="E333" s="153" t="s">
        <v>672</v>
      </c>
      <c r="F333" s="153" t="s">
        <v>1440</v>
      </c>
      <c r="G333" s="154"/>
      <c r="H333" s="37"/>
      <c r="I333" s="92" t="s">
        <v>1441</v>
      </c>
      <c r="J333" s="41" t="s">
        <v>44</v>
      </c>
      <c r="K333" s="41" t="s">
        <v>707</v>
      </c>
      <c r="L333" s="199" t="s">
        <v>1442</v>
      </c>
      <c r="M333" s="55">
        <v>36107</v>
      </c>
      <c r="N333" s="40" t="s">
        <v>1443</v>
      </c>
      <c r="O333" s="24" t="s">
        <v>47</v>
      </c>
      <c r="P333" s="30" t="s">
        <v>37</v>
      </c>
      <c r="Q333" s="35" t="s">
        <v>1444</v>
      </c>
      <c r="R333" s="30"/>
      <c r="S333" s="35" t="s">
        <v>1445</v>
      </c>
      <c r="T333" s="47" t="s">
        <v>1446</v>
      </c>
    </row>
    <row r="334" spans="1:20" ht="30" customHeight="1" x14ac:dyDescent="0.25">
      <c r="A334" s="70" t="e">
        <f>REPT(#REF!,#REF!)</f>
        <v>#REF!</v>
      </c>
      <c r="B334" s="71"/>
      <c r="C334" s="72"/>
      <c r="D334" s="72"/>
      <c r="E334" s="180" t="s">
        <v>672</v>
      </c>
      <c r="F334" s="74" t="e">
        <f>REPT(#REF!,#REF!)</f>
        <v>#REF!</v>
      </c>
      <c r="G334" s="75"/>
      <c r="H334" s="75"/>
      <c r="I334" s="76"/>
      <c r="J334" s="138"/>
      <c r="K334" s="138"/>
      <c r="L334" s="139"/>
      <c r="M334" s="76"/>
      <c r="N334" s="70"/>
      <c r="O334" s="140"/>
      <c r="P334" s="108"/>
      <c r="Q334" s="108"/>
      <c r="R334" s="108"/>
      <c r="S334" s="109"/>
      <c r="T334" s="104"/>
    </row>
    <row r="335" spans="1:20" ht="30" customHeight="1" x14ac:dyDescent="0.25">
      <c r="A335" s="24">
        <f>A333+1</f>
        <v>303</v>
      </c>
      <c r="B335" s="23"/>
      <c r="C335" s="24"/>
      <c r="D335" s="25"/>
      <c r="E335" s="26" t="s">
        <v>672</v>
      </c>
      <c r="F335" s="26" t="s">
        <v>1447</v>
      </c>
      <c r="G335" s="87"/>
      <c r="H335" s="37"/>
      <c r="I335" s="91" t="s">
        <v>1448</v>
      </c>
      <c r="J335" s="41" t="s">
        <v>68</v>
      </c>
      <c r="K335" s="41" t="s">
        <v>44</v>
      </c>
      <c r="L335" s="45" t="s">
        <v>1449</v>
      </c>
      <c r="M335" s="33">
        <v>30340</v>
      </c>
      <c r="N335" s="40" t="s">
        <v>1450</v>
      </c>
      <c r="O335" s="30" t="s">
        <v>47</v>
      </c>
      <c r="P335" s="30" t="s">
        <v>48</v>
      </c>
      <c r="Q335" s="35" t="s">
        <v>1451</v>
      </c>
      <c r="R335" s="30">
        <v>1</v>
      </c>
      <c r="S335" s="35" t="s">
        <v>1452</v>
      </c>
      <c r="T335" s="53" t="s">
        <v>1453</v>
      </c>
    </row>
    <row r="336" spans="1:20" ht="30" customHeight="1" x14ac:dyDescent="0.25">
      <c r="A336" s="24">
        <f>A335+1</f>
        <v>304</v>
      </c>
      <c r="B336" s="23"/>
      <c r="C336" s="24"/>
      <c r="D336" s="24"/>
      <c r="E336" s="30" t="s">
        <v>672</v>
      </c>
      <c r="F336" s="30" t="s">
        <v>1447</v>
      </c>
      <c r="G336" s="33"/>
      <c r="H336" s="37"/>
      <c r="I336" s="96" t="s">
        <v>1454</v>
      </c>
      <c r="J336" s="41" t="s">
        <v>44</v>
      </c>
      <c r="K336" s="38">
        <v>53</v>
      </c>
      <c r="L336" s="230" t="s">
        <v>29</v>
      </c>
      <c r="M336" s="231"/>
      <c r="N336" s="232"/>
      <c r="O336" s="233"/>
      <c r="P336" s="234"/>
      <c r="Q336" s="235"/>
      <c r="R336" s="234"/>
      <c r="S336" s="235"/>
      <c r="T336" s="234"/>
    </row>
    <row r="337" spans="1:20" ht="30" customHeight="1" x14ac:dyDescent="0.25">
      <c r="A337" s="24">
        <f>A336+1</f>
        <v>305</v>
      </c>
      <c r="B337" s="23"/>
      <c r="C337" s="24"/>
      <c r="D337" s="24"/>
      <c r="E337" s="30" t="s">
        <v>672</v>
      </c>
      <c r="F337" s="30" t="s">
        <v>1447</v>
      </c>
      <c r="G337" s="33"/>
      <c r="H337" s="37"/>
      <c r="I337" s="92" t="s">
        <v>1455</v>
      </c>
      <c r="J337" s="41" t="s">
        <v>44</v>
      </c>
      <c r="K337" s="38">
        <v>54</v>
      </c>
      <c r="L337" s="230" t="s">
        <v>29</v>
      </c>
      <c r="M337" s="231"/>
      <c r="N337" s="232"/>
      <c r="O337" s="233"/>
      <c r="P337" s="234"/>
      <c r="Q337" s="235"/>
      <c r="R337" s="234"/>
      <c r="S337" s="235"/>
      <c r="T337" s="234"/>
    </row>
    <row r="338" spans="1:20" ht="30" customHeight="1" x14ac:dyDescent="0.25">
      <c r="A338" s="24">
        <f>A337+1</f>
        <v>306</v>
      </c>
      <c r="B338" s="23"/>
      <c r="C338" s="24"/>
      <c r="D338" s="67"/>
      <c r="E338" s="68" t="s">
        <v>672</v>
      </c>
      <c r="F338" s="68" t="s">
        <v>1447</v>
      </c>
      <c r="G338" s="69"/>
      <c r="H338" s="37"/>
      <c r="I338" s="92" t="s">
        <v>1456</v>
      </c>
      <c r="J338" s="41" t="s">
        <v>44</v>
      </c>
      <c r="K338" s="38">
        <v>55</v>
      </c>
      <c r="L338" s="230" t="s">
        <v>29</v>
      </c>
      <c r="M338" s="231"/>
      <c r="N338" s="232"/>
      <c r="O338" s="233"/>
      <c r="P338" s="234"/>
      <c r="Q338" s="235"/>
      <c r="R338" s="234"/>
      <c r="S338" s="235"/>
      <c r="T338" s="234"/>
    </row>
    <row r="339" spans="1:20" ht="30" customHeight="1" x14ac:dyDescent="0.25">
      <c r="A339" s="70" t="e">
        <f>REPT(#REF!,#REF!)</f>
        <v>#REF!</v>
      </c>
      <c r="B339" s="71"/>
      <c r="C339" s="72"/>
      <c r="D339" s="72"/>
      <c r="E339" s="180" t="s">
        <v>672</v>
      </c>
      <c r="F339" s="74" t="e">
        <f>REPT(#REF!,#REF!)</f>
        <v>#REF!</v>
      </c>
      <c r="G339" s="75"/>
      <c r="H339" s="75"/>
      <c r="I339" s="76"/>
      <c r="J339" s="138"/>
      <c r="K339" s="138"/>
      <c r="L339" s="139"/>
      <c r="M339" s="76"/>
      <c r="N339" s="70"/>
      <c r="O339" s="140"/>
      <c r="P339" s="108"/>
      <c r="Q339" s="108"/>
      <c r="R339" s="108"/>
      <c r="S339" s="109"/>
      <c r="T339" s="104"/>
    </row>
    <row r="340" spans="1:20" ht="30" customHeight="1" x14ac:dyDescent="0.25">
      <c r="A340" s="24">
        <f>A338+1</f>
        <v>307</v>
      </c>
      <c r="B340" s="23" t="s">
        <v>636</v>
      </c>
      <c r="C340" s="24"/>
      <c r="D340" s="152" t="s">
        <v>185</v>
      </c>
      <c r="E340" s="153" t="s">
        <v>672</v>
      </c>
      <c r="F340" s="160" t="s">
        <v>1457</v>
      </c>
      <c r="G340" s="154"/>
      <c r="H340" s="43" t="s">
        <v>41</v>
      </c>
      <c r="I340" s="92" t="s">
        <v>1458</v>
      </c>
      <c r="J340" s="30" t="s">
        <v>44</v>
      </c>
      <c r="K340" s="38">
        <v>56</v>
      </c>
      <c r="L340" s="230" t="s">
        <v>29</v>
      </c>
      <c r="M340" s="46"/>
      <c r="N340" s="48"/>
      <c r="O340" s="49"/>
      <c r="P340" s="46"/>
      <c r="Q340" s="50"/>
      <c r="R340" s="46"/>
      <c r="S340" s="50"/>
      <c r="T340" s="46"/>
    </row>
    <row r="341" spans="1:20" ht="30" customHeight="1" x14ac:dyDescent="0.25">
      <c r="A341" s="70" t="e">
        <f>REPT(#REF!,#REF!)</f>
        <v>#REF!</v>
      </c>
      <c r="B341" s="71"/>
      <c r="C341" s="72"/>
      <c r="D341" s="72"/>
      <c r="E341" s="180" t="s">
        <v>672</v>
      </c>
      <c r="F341" s="74" t="e">
        <f>REPT(#REF!,#REF!)</f>
        <v>#REF!</v>
      </c>
      <c r="G341" s="75"/>
      <c r="H341" s="75"/>
      <c r="I341" s="76"/>
      <c r="J341" s="138"/>
      <c r="K341" s="138"/>
      <c r="L341" s="139"/>
      <c r="M341" s="183"/>
      <c r="N341" s="178"/>
      <c r="O341" s="184"/>
      <c r="P341" s="185"/>
      <c r="Q341" s="185"/>
      <c r="R341" s="185"/>
      <c r="S341" s="186"/>
      <c r="T341" s="187"/>
    </row>
    <row r="342" spans="1:20" ht="30" customHeight="1" x14ac:dyDescent="0.25">
      <c r="A342" s="24">
        <f>A340+1</f>
        <v>308</v>
      </c>
      <c r="B342" s="23"/>
      <c r="C342" s="24"/>
      <c r="D342" s="152"/>
      <c r="E342" s="153" t="s">
        <v>672</v>
      </c>
      <c r="F342" s="160" t="s">
        <v>1459</v>
      </c>
      <c r="G342" s="154"/>
      <c r="H342" s="43"/>
      <c r="I342" s="92" t="s">
        <v>1460</v>
      </c>
      <c r="J342" s="41" t="s">
        <v>44</v>
      </c>
      <c r="K342" s="41" t="s">
        <v>44</v>
      </c>
      <c r="L342" s="45" t="s">
        <v>1461</v>
      </c>
      <c r="M342" s="33">
        <v>32974</v>
      </c>
      <c r="N342" s="40" t="s">
        <v>451</v>
      </c>
      <c r="O342" s="30" t="s">
        <v>1462</v>
      </c>
      <c r="P342" s="30" t="s">
        <v>48</v>
      </c>
      <c r="Q342" s="35" t="s">
        <v>1463</v>
      </c>
      <c r="R342" s="30"/>
      <c r="S342" s="35" t="s">
        <v>1464</v>
      </c>
      <c r="T342" s="36"/>
    </row>
    <row r="343" spans="1:20" ht="30" customHeight="1" x14ac:dyDescent="0.25">
      <c r="A343" s="70" t="e">
        <f>REPT(#REF!,#REF!)</f>
        <v>#REF!</v>
      </c>
      <c r="B343" s="71"/>
      <c r="C343" s="72"/>
      <c r="D343" s="72"/>
      <c r="E343" s="180" t="s">
        <v>672</v>
      </c>
      <c r="F343" s="74" t="e">
        <f>REPT(#REF!,#REF!)</f>
        <v>#REF!</v>
      </c>
      <c r="G343" s="75"/>
      <c r="H343" s="75"/>
      <c r="I343" s="76"/>
      <c r="J343" s="138"/>
      <c r="K343" s="138"/>
      <c r="L343" s="139"/>
      <c r="M343" s="76"/>
      <c r="N343" s="70"/>
      <c r="O343" s="140"/>
      <c r="P343" s="108"/>
      <c r="Q343" s="108"/>
      <c r="R343" s="108"/>
      <c r="S343" s="109"/>
      <c r="T343" s="104"/>
    </row>
    <row r="344" spans="1:20" ht="30" customHeight="1" x14ac:dyDescent="0.25">
      <c r="A344" s="24">
        <f>A342+1</f>
        <v>309</v>
      </c>
      <c r="B344" s="23"/>
      <c r="C344" s="24"/>
      <c r="D344" s="25"/>
      <c r="E344" s="26" t="s">
        <v>672</v>
      </c>
      <c r="F344" s="236" t="s">
        <v>1465</v>
      </c>
      <c r="G344" s="87"/>
      <c r="H344" s="43"/>
      <c r="I344" s="91" t="s">
        <v>1466</v>
      </c>
      <c r="J344" s="41" t="s">
        <v>68</v>
      </c>
      <c r="K344" s="41" t="s">
        <v>44</v>
      </c>
      <c r="L344" s="56" t="s">
        <v>1467</v>
      </c>
      <c r="M344" s="33">
        <v>34905</v>
      </c>
      <c r="N344" s="40" t="s">
        <v>1109</v>
      </c>
      <c r="O344" s="30" t="s">
        <v>47</v>
      </c>
      <c r="P344" s="30" t="s">
        <v>37</v>
      </c>
      <c r="Q344" s="35" t="s">
        <v>1468</v>
      </c>
      <c r="R344" s="30"/>
      <c r="S344" s="35" t="s">
        <v>1469</v>
      </c>
      <c r="T344" s="24" t="s">
        <v>1470</v>
      </c>
    </row>
    <row r="345" spans="1:20" ht="30" customHeight="1" x14ac:dyDescent="0.25">
      <c r="A345" s="24">
        <f>A344+1</f>
        <v>310</v>
      </c>
      <c r="B345" s="23"/>
      <c r="C345" s="24"/>
      <c r="D345" s="67"/>
      <c r="E345" s="68" t="s">
        <v>672</v>
      </c>
      <c r="F345" s="237" t="s">
        <v>1465</v>
      </c>
      <c r="G345" s="69"/>
      <c r="H345" s="43"/>
      <c r="I345" s="96" t="s">
        <v>1471</v>
      </c>
      <c r="J345" s="41" t="s">
        <v>44</v>
      </c>
      <c r="K345" s="38">
        <v>57</v>
      </c>
      <c r="L345" s="230" t="s">
        <v>29</v>
      </c>
      <c r="M345" s="46"/>
      <c r="N345" s="48"/>
      <c r="O345" s="49"/>
      <c r="P345" s="46"/>
      <c r="Q345" s="50"/>
      <c r="R345" s="46"/>
      <c r="S345" s="50"/>
      <c r="T345" s="46"/>
    </row>
    <row r="346" spans="1:20" ht="30" customHeight="1" x14ac:dyDescent="0.25">
      <c r="A346" s="70" t="e">
        <f>REPT(#REF!,#REF!)</f>
        <v>#REF!</v>
      </c>
      <c r="B346" s="71"/>
      <c r="C346" s="72"/>
      <c r="D346" s="72"/>
      <c r="E346" s="180" t="s">
        <v>672</v>
      </c>
      <c r="F346" s="74" t="e">
        <f>REPT(#REF!,#REF!)</f>
        <v>#REF!</v>
      </c>
      <c r="G346" s="75"/>
      <c r="H346" s="75"/>
      <c r="I346" s="76"/>
      <c r="J346" s="138"/>
      <c r="K346" s="138"/>
      <c r="L346" s="139"/>
      <c r="M346" s="76"/>
      <c r="N346" s="70"/>
      <c r="O346" s="140"/>
      <c r="P346" s="108"/>
      <c r="Q346" s="108"/>
      <c r="R346" s="108"/>
      <c r="S346" s="109"/>
      <c r="T346" s="104"/>
    </row>
    <row r="347" spans="1:20" ht="30" customHeight="1" x14ac:dyDescent="0.25">
      <c r="A347" s="24">
        <f>A345+1</f>
        <v>311</v>
      </c>
      <c r="B347" s="23"/>
      <c r="C347" s="24"/>
      <c r="D347" s="25"/>
      <c r="E347" s="26" t="s">
        <v>672</v>
      </c>
      <c r="F347" s="236" t="s">
        <v>1472</v>
      </c>
      <c r="G347" s="87"/>
      <c r="H347" s="43"/>
      <c r="I347" s="91" t="s">
        <v>1473</v>
      </c>
      <c r="J347" s="41" t="s">
        <v>68</v>
      </c>
      <c r="K347" s="41" t="s">
        <v>44</v>
      </c>
      <c r="L347" s="45" t="s">
        <v>1474</v>
      </c>
      <c r="M347" s="33">
        <v>31379</v>
      </c>
      <c r="N347" s="40" t="s">
        <v>1475</v>
      </c>
      <c r="O347" s="30" t="s">
        <v>47</v>
      </c>
      <c r="P347" s="30" t="s">
        <v>317</v>
      </c>
      <c r="Q347" s="35" t="s">
        <v>1476</v>
      </c>
      <c r="R347" s="30">
        <v>3</v>
      </c>
      <c r="S347" s="35" t="s">
        <v>84</v>
      </c>
      <c r="T347" s="47" t="s">
        <v>1477</v>
      </c>
    </row>
    <row r="348" spans="1:20" ht="30" customHeight="1" x14ac:dyDescent="0.25">
      <c r="A348" s="24">
        <f>A347+1</f>
        <v>312</v>
      </c>
      <c r="B348" s="23"/>
      <c r="C348" s="24"/>
      <c r="D348" s="67"/>
      <c r="E348" s="68" t="s">
        <v>672</v>
      </c>
      <c r="F348" s="237" t="s">
        <v>1472</v>
      </c>
      <c r="G348" s="69"/>
      <c r="H348" s="43"/>
      <c r="I348" s="96" t="s">
        <v>1478</v>
      </c>
      <c r="J348" s="41" t="s">
        <v>44</v>
      </c>
      <c r="K348" s="38">
        <v>58</v>
      </c>
      <c r="L348" s="230" t="s">
        <v>29</v>
      </c>
      <c r="M348" s="46"/>
      <c r="N348" s="48"/>
      <c r="O348" s="49"/>
      <c r="P348" s="46"/>
      <c r="Q348" s="50"/>
      <c r="R348" s="46"/>
      <c r="S348" s="50"/>
      <c r="T348" s="46"/>
    </row>
    <row r="349" spans="1:20" ht="30" customHeight="1" x14ac:dyDescent="0.25">
      <c r="A349" s="70" t="e">
        <f>REPT(#REF!,#REF!)</f>
        <v>#REF!</v>
      </c>
      <c r="B349" s="71"/>
      <c r="C349" s="72"/>
      <c r="D349" s="72"/>
      <c r="E349" s="180" t="s">
        <v>672</v>
      </c>
      <c r="F349" s="74" t="e">
        <f>REPT(#REF!,#REF!)</f>
        <v>#REF!</v>
      </c>
      <c r="G349" s="75"/>
      <c r="H349" s="75"/>
      <c r="I349" s="76"/>
      <c r="J349" s="138"/>
      <c r="K349" s="138"/>
      <c r="L349" s="139"/>
      <c r="M349" s="76"/>
      <c r="N349" s="70"/>
      <c r="O349" s="104"/>
      <c r="P349" s="108"/>
      <c r="Q349" s="108"/>
      <c r="R349" s="108"/>
      <c r="S349" s="109"/>
      <c r="T349" s="104"/>
    </row>
    <row r="350" spans="1:20" ht="30" customHeight="1" x14ac:dyDescent="0.25">
      <c r="A350" s="24">
        <f>A348+1</f>
        <v>313</v>
      </c>
      <c r="B350" s="23" t="s">
        <v>234</v>
      </c>
      <c r="C350" s="24"/>
      <c r="D350" s="25"/>
      <c r="E350" s="26" t="s">
        <v>672</v>
      </c>
      <c r="F350" s="26" t="s">
        <v>1479</v>
      </c>
      <c r="G350" s="87"/>
      <c r="H350" s="43" t="s">
        <v>41</v>
      </c>
      <c r="I350" s="91" t="s">
        <v>1480</v>
      </c>
      <c r="J350" s="41" t="s">
        <v>760</v>
      </c>
      <c r="K350" s="41" t="s">
        <v>924</v>
      </c>
      <c r="L350" s="89" t="s">
        <v>1481</v>
      </c>
      <c r="M350" s="33">
        <v>32827</v>
      </c>
      <c r="N350" s="40" t="s">
        <v>1482</v>
      </c>
      <c r="O350" s="30" t="s">
        <v>47</v>
      </c>
      <c r="P350" s="30" t="s">
        <v>48</v>
      </c>
      <c r="Q350" s="35" t="s">
        <v>1483</v>
      </c>
      <c r="R350" s="30">
        <v>1</v>
      </c>
      <c r="S350" s="35" t="s">
        <v>1484</v>
      </c>
      <c r="T350" s="53" t="s">
        <v>1485</v>
      </c>
    </row>
    <row r="351" spans="1:20" ht="30" customHeight="1" x14ac:dyDescent="0.25">
      <c r="A351" s="24">
        <f t="shared" ref="A351:A359" si="12">A350+1</f>
        <v>314</v>
      </c>
      <c r="B351" s="23" t="s">
        <v>234</v>
      </c>
      <c r="C351" s="24"/>
      <c r="D351" s="24" t="s">
        <v>185</v>
      </c>
      <c r="E351" s="30" t="s">
        <v>672</v>
      </c>
      <c r="F351" s="30" t="s">
        <v>1479</v>
      </c>
      <c r="G351" s="33"/>
      <c r="H351" s="43" t="s">
        <v>41</v>
      </c>
      <c r="I351" s="92" t="s">
        <v>1486</v>
      </c>
      <c r="J351" s="41" t="s">
        <v>924</v>
      </c>
      <c r="K351" s="41" t="s">
        <v>925</v>
      </c>
      <c r="L351" s="97" t="s">
        <v>1487</v>
      </c>
      <c r="M351" s="33">
        <v>35009</v>
      </c>
      <c r="N351" s="40" t="s">
        <v>1488</v>
      </c>
      <c r="O351" s="30" t="s">
        <v>554</v>
      </c>
      <c r="P351" s="30" t="s">
        <v>48</v>
      </c>
      <c r="Q351" s="35" t="s">
        <v>1489</v>
      </c>
      <c r="R351" s="30"/>
      <c r="S351" s="35" t="s">
        <v>1490</v>
      </c>
      <c r="T351" s="53" t="s">
        <v>1491</v>
      </c>
    </row>
    <row r="352" spans="1:20" ht="30" customHeight="1" x14ac:dyDescent="0.25">
      <c r="A352" s="24">
        <f t="shared" si="12"/>
        <v>315</v>
      </c>
      <c r="B352" s="23" t="s">
        <v>234</v>
      </c>
      <c r="C352" s="24"/>
      <c r="D352" s="24" t="s">
        <v>185</v>
      </c>
      <c r="E352" s="30" t="s">
        <v>672</v>
      </c>
      <c r="F352" s="30" t="s">
        <v>1479</v>
      </c>
      <c r="G352" s="33"/>
      <c r="H352" s="43" t="s">
        <v>41</v>
      </c>
      <c r="I352" s="238" t="s">
        <v>1492</v>
      </c>
      <c r="J352" s="41" t="s">
        <v>924</v>
      </c>
      <c r="K352" s="239" t="s">
        <v>925</v>
      </c>
      <c r="L352" s="100" t="s">
        <v>1493</v>
      </c>
      <c r="M352" s="33">
        <v>34450</v>
      </c>
      <c r="N352" s="40" t="s">
        <v>1494</v>
      </c>
      <c r="O352" s="30" t="s">
        <v>1398</v>
      </c>
      <c r="P352" s="30" t="s">
        <v>37</v>
      </c>
      <c r="Q352" s="211" t="s">
        <v>1495</v>
      </c>
      <c r="R352" s="211"/>
      <c r="S352" s="35" t="s">
        <v>1496</v>
      </c>
      <c r="T352" s="113" t="s">
        <v>1497</v>
      </c>
    </row>
    <row r="353" spans="1:20" ht="30" customHeight="1" x14ac:dyDescent="0.25">
      <c r="A353" s="24">
        <f t="shared" si="12"/>
        <v>316</v>
      </c>
      <c r="B353" s="23" t="s">
        <v>234</v>
      </c>
      <c r="C353" s="24"/>
      <c r="D353" s="24" t="s">
        <v>185</v>
      </c>
      <c r="E353" s="30" t="s">
        <v>672</v>
      </c>
      <c r="F353" s="30" t="s">
        <v>1479</v>
      </c>
      <c r="G353" s="33"/>
      <c r="H353" s="33"/>
      <c r="I353" s="52" t="s">
        <v>1498</v>
      </c>
      <c r="J353" s="41" t="s">
        <v>924</v>
      </c>
      <c r="K353" s="41" t="s">
        <v>925</v>
      </c>
      <c r="L353" s="95" t="s">
        <v>1499</v>
      </c>
      <c r="M353" s="33">
        <v>34188</v>
      </c>
      <c r="N353" s="40" t="s">
        <v>1500</v>
      </c>
      <c r="O353" s="30" t="s">
        <v>370</v>
      </c>
      <c r="P353" s="24" t="s">
        <v>37</v>
      </c>
      <c r="Q353" s="35" t="s">
        <v>1501</v>
      </c>
      <c r="R353" s="30"/>
      <c r="S353" s="35" t="s">
        <v>1502</v>
      </c>
      <c r="T353" s="113" t="s">
        <v>1503</v>
      </c>
    </row>
    <row r="354" spans="1:20" ht="30" customHeight="1" x14ac:dyDescent="0.25">
      <c r="A354" s="24">
        <f t="shared" si="12"/>
        <v>317</v>
      </c>
      <c r="B354" s="23" t="s">
        <v>234</v>
      </c>
      <c r="C354" s="24"/>
      <c r="D354" s="24" t="s">
        <v>185</v>
      </c>
      <c r="E354" s="30" t="s">
        <v>672</v>
      </c>
      <c r="F354" s="30" t="s">
        <v>1479</v>
      </c>
      <c r="G354" s="33"/>
      <c r="H354" s="43" t="s">
        <v>41</v>
      </c>
      <c r="I354" s="92" t="s">
        <v>1504</v>
      </c>
      <c r="J354" s="41" t="s">
        <v>924</v>
      </c>
      <c r="K354" s="41" t="s">
        <v>760</v>
      </c>
      <c r="L354" s="89" t="s">
        <v>1505</v>
      </c>
      <c r="M354" s="33">
        <v>29223</v>
      </c>
      <c r="N354" s="40" t="s">
        <v>1506</v>
      </c>
      <c r="O354" s="30" t="s">
        <v>47</v>
      </c>
      <c r="P354" s="30" t="s">
        <v>48</v>
      </c>
      <c r="Q354" s="210" t="s">
        <v>1507</v>
      </c>
      <c r="R354" s="211"/>
      <c r="S354" s="210" t="s">
        <v>1508</v>
      </c>
      <c r="T354" s="200" t="s">
        <v>1509</v>
      </c>
    </row>
    <row r="355" spans="1:20" ht="30" customHeight="1" x14ac:dyDescent="0.25">
      <c r="A355" s="24">
        <f t="shared" si="12"/>
        <v>318</v>
      </c>
      <c r="B355" s="23" t="s">
        <v>234</v>
      </c>
      <c r="C355" s="24"/>
      <c r="D355" s="24" t="s">
        <v>185</v>
      </c>
      <c r="E355" s="30" t="s">
        <v>672</v>
      </c>
      <c r="F355" s="30" t="s">
        <v>1479</v>
      </c>
      <c r="G355" s="33"/>
      <c r="H355" s="43" t="s">
        <v>41</v>
      </c>
      <c r="I355" s="52" t="s">
        <v>1510</v>
      </c>
      <c r="J355" s="41" t="s">
        <v>924</v>
      </c>
      <c r="K355" s="41" t="s">
        <v>925</v>
      </c>
      <c r="L355" s="100" t="s">
        <v>1511</v>
      </c>
      <c r="M355" s="33">
        <v>35546</v>
      </c>
      <c r="N355" s="40" t="s">
        <v>1512</v>
      </c>
      <c r="O355" s="30" t="s">
        <v>1513</v>
      </c>
      <c r="P355" s="30" t="s">
        <v>1514</v>
      </c>
      <c r="Q355" s="35" t="s">
        <v>1515</v>
      </c>
      <c r="R355" s="30"/>
      <c r="S355" s="35" t="s">
        <v>1516</v>
      </c>
      <c r="T355" s="200" t="s">
        <v>1517</v>
      </c>
    </row>
    <row r="356" spans="1:20" ht="30" customHeight="1" x14ac:dyDescent="0.25">
      <c r="A356" s="24">
        <f t="shared" si="12"/>
        <v>319</v>
      </c>
      <c r="B356" s="23" t="s">
        <v>234</v>
      </c>
      <c r="C356" s="24"/>
      <c r="D356" s="24" t="s">
        <v>185</v>
      </c>
      <c r="E356" s="30" t="s">
        <v>672</v>
      </c>
      <c r="F356" s="30" t="s">
        <v>1479</v>
      </c>
      <c r="G356" s="33"/>
      <c r="H356" s="43" t="s">
        <v>41</v>
      </c>
      <c r="I356" s="52" t="s">
        <v>1510</v>
      </c>
      <c r="J356" s="41" t="s">
        <v>924</v>
      </c>
      <c r="K356" s="41" t="s">
        <v>925</v>
      </c>
      <c r="L356" s="97" t="s">
        <v>1518</v>
      </c>
      <c r="M356" s="33">
        <v>34856</v>
      </c>
      <c r="N356" s="198" t="s">
        <v>1519</v>
      </c>
      <c r="O356" s="30" t="s">
        <v>47</v>
      </c>
      <c r="P356" s="30" t="s">
        <v>48</v>
      </c>
      <c r="Q356" s="211" t="s">
        <v>1520</v>
      </c>
      <c r="R356" s="211"/>
      <c r="S356" s="211" t="s">
        <v>1521</v>
      </c>
      <c r="T356" s="53" t="s">
        <v>1522</v>
      </c>
    </row>
    <row r="357" spans="1:20" ht="30" customHeight="1" x14ac:dyDescent="0.25">
      <c r="A357" s="24">
        <f t="shared" si="12"/>
        <v>320</v>
      </c>
      <c r="B357" s="23" t="s">
        <v>234</v>
      </c>
      <c r="C357" s="24"/>
      <c r="D357" s="24" t="s">
        <v>185</v>
      </c>
      <c r="E357" s="30" t="s">
        <v>672</v>
      </c>
      <c r="F357" s="30" t="s">
        <v>1479</v>
      </c>
      <c r="G357" s="33"/>
      <c r="H357" s="43" t="s">
        <v>41</v>
      </c>
      <c r="I357" s="52" t="s">
        <v>1523</v>
      </c>
      <c r="J357" s="41" t="s">
        <v>924</v>
      </c>
      <c r="K357" s="41" t="s">
        <v>925</v>
      </c>
      <c r="L357" s="240" t="s">
        <v>1524</v>
      </c>
      <c r="M357" s="241">
        <v>35596</v>
      </c>
      <c r="N357" s="40" t="s">
        <v>1525</v>
      </c>
      <c r="O357" s="23" t="s">
        <v>47</v>
      </c>
      <c r="P357" s="24" t="s">
        <v>37</v>
      </c>
      <c r="Q357" s="35" t="s">
        <v>1526</v>
      </c>
      <c r="R357" s="30"/>
      <c r="S357" s="35" t="s">
        <v>1527</v>
      </c>
      <c r="T357" s="24" t="s">
        <v>1528</v>
      </c>
    </row>
    <row r="358" spans="1:20" ht="30" customHeight="1" x14ac:dyDescent="0.25">
      <c r="A358" s="24">
        <f t="shared" si="12"/>
        <v>321</v>
      </c>
      <c r="B358" s="23" t="s">
        <v>234</v>
      </c>
      <c r="C358" s="24"/>
      <c r="D358" s="24" t="s">
        <v>185</v>
      </c>
      <c r="E358" s="30" t="s">
        <v>672</v>
      </c>
      <c r="F358" s="30" t="s">
        <v>1479</v>
      </c>
      <c r="G358" s="33"/>
      <c r="H358" s="43" t="s">
        <v>41</v>
      </c>
      <c r="I358" s="92" t="s">
        <v>1529</v>
      </c>
      <c r="J358" s="41" t="s">
        <v>924</v>
      </c>
      <c r="K358" s="41" t="s">
        <v>925</v>
      </c>
      <c r="L358" s="240" t="s">
        <v>1530</v>
      </c>
      <c r="M358" s="55">
        <v>35495</v>
      </c>
      <c r="N358" s="198" t="s">
        <v>1531</v>
      </c>
      <c r="O358" s="24" t="s">
        <v>47</v>
      </c>
      <c r="P358" s="24" t="s">
        <v>37</v>
      </c>
      <c r="Q358" s="211" t="s">
        <v>1532</v>
      </c>
      <c r="R358" s="211"/>
      <c r="S358" s="35" t="s">
        <v>1533</v>
      </c>
      <c r="T358" s="62" t="s">
        <v>1534</v>
      </c>
    </row>
    <row r="359" spans="1:20" ht="30" customHeight="1" x14ac:dyDescent="0.25">
      <c r="A359" s="24">
        <f t="shared" si="12"/>
        <v>322</v>
      </c>
      <c r="B359" s="23" t="s">
        <v>234</v>
      </c>
      <c r="C359" s="24"/>
      <c r="D359" s="67" t="s">
        <v>185</v>
      </c>
      <c r="E359" s="68" t="s">
        <v>672</v>
      </c>
      <c r="F359" s="68" t="s">
        <v>1479</v>
      </c>
      <c r="G359" s="33"/>
      <c r="H359" s="43" t="s">
        <v>41</v>
      </c>
      <c r="I359" s="52" t="s">
        <v>1535</v>
      </c>
      <c r="J359" s="41" t="s">
        <v>924</v>
      </c>
      <c r="K359" s="128" t="s">
        <v>925</v>
      </c>
      <c r="L359" s="242" t="s">
        <v>1536</v>
      </c>
      <c r="M359" s="87">
        <v>35244</v>
      </c>
      <c r="N359" s="130" t="s">
        <v>1537</v>
      </c>
      <c r="O359" s="26" t="s">
        <v>47</v>
      </c>
      <c r="P359" s="25" t="s">
        <v>37</v>
      </c>
      <c r="Q359" s="243" t="s">
        <v>1538</v>
      </c>
      <c r="R359" s="243"/>
      <c r="S359" s="131" t="s">
        <v>1539</v>
      </c>
      <c r="T359" s="244" t="s">
        <v>1540</v>
      </c>
    </row>
    <row r="360" spans="1:20" ht="30" customHeight="1" x14ac:dyDescent="0.25">
      <c r="A360" s="70" t="e">
        <f>REPT(#REF!,#REF!)</f>
        <v>#REF!</v>
      </c>
      <c r="B360" s="71"/>
      <c r="C360" s="72"/>
      <c r="D360" s="72"/>
      <c r="E360" s="180" t="s">
        <v>672</v>
      </c>
      <c r="F360" s="192" t="e">
        <f>REPT(#REF!,#REF!)</f>
        <v>#REF!</v>
      </c>
      <c r="G360" s="75"/>
      <c r="H360" s="140"/>
      <c r="I360" s="76"/>
      <c r="J360" s="138"/>
      <c r="K360" s="138"/>
      <c r="L360" s="139"/>
      <c r="M360" s="76"/>
      <c r="N360" s="70"/>
      <c r="O360" s="104"/>
      <c r="P360" s="108"/>
      <c r="Q360" s="108"/>
      <c r="R360" s="108"/>
      <c r="S360" s="108"/>
      <c r="T360" s="104"/>
    </row>
    <row r="361" spans="1:20" ht="30" customHeight="1" x14ac:dyDescent="0.25">
      <c r="A361" s="24">
        <f>A359+1</f>
        <v>323</v>
      </c>
      <c r="B361" s="23"/>
      <c r="C361" s="24"/>
      <c r="D361" s="25"/>
      <c r="E361" s="26" t="s">
        <v>672</v>
      </c>
      <c r="F361" s="153" t="s">
        <v>1541</v>
      </c>
      <c r="G361" s="33"/>
      <c r="H361" s="43" t="s">
        <v>41</v>
      </c>
      <c r="I361" s="52" t="s">
        <v>1542</v>
      </c>
      <c r="J361" s="41" t="s">
        <v>43</v>
      </c>
      <c r="K361" s="41" t="s">
        <v>43</v>
      </c>
      <c r="L361" s="52" t="s">
        <v>1543</v>
      </c>
      <c r="M361" s="33">
        <v>26240</v>
      </c>
      <c r="N361" s="40" t="s">
        <v>1544</v>
      </c>
      <c r="O361" s="30" t="s">
        <v>1425</v>
      </c>
      <c r="P361" s="30" t="s">
        <v>48</v>
      </c>
      <c r="Q361" s="35" t="s">
        <v>1545</v>
      </c>
      <c r="R361" s="30">
        <v>1</v>
      </c>
      <c r="S361" s="35" t="s">
        <v>1546</v>
      </c>
      <c r="T361" s="47" t="s">
        <v>1547</v>
      </c>
    </row>
    <row r="362" spans="1:20" ht="30" customHeight="1" x14ac:dyDescent="0.25">
      <c r="A362" s="24">
        <f>A361+1</f>
        <v>324</v>
      </c>
      <c r="B362" s="114"/>
      <c r="C362" s="67"/>
      <c r="D362" s="67"/>
      <c r="E362" s="68" t="s">
        <v>672</v>
      </c>
      <c r="F362" s="68" t="s">
        <v>1541</v>
      </c>
      <c r="G362" s="69"/>
      <c r="H362" s="116" t="s">
        <v>41</v>
      </c>
      <c r="I362" s="143" t="s">
        <v>1548</v>
      </c>
      <c r="J362" s="117" t="s">
        <v>43</v>
      </c>
      <c r="K362" s="117" t="s">
        <v>43</v>
      </c>
      <c r="L362" s="144" t="s">
        <v>1549</v>
      </c>
      <c r="M362" s="69">
        <v>27526</v>
      </c>
      <c r="N362" s="134" t="s">
        <v>1550</v>
      </c>
      <c r="O362" s="68" t="s">
        <v>47</v>
      </c>
      <c r="P362" s="68" t="s">
        <v>48</v>
      </c>
      <c r="Q362" s="135" t="s">
        <v>1551</v>
      </c>
      <c r="R362" s="68">
        <v>2</v>
      </c>
      <c r="S362" s="135" t="s">
        <v>218</v>
      </c>
      <c r="T362" s="245" t="s">
        <v>1552</v>
      </c>
    </row>
    <row r="363" spans="1:20" ht="30" customHeight="1" x14ac:dyDescent="0.25">
      <c r="A363" s="246" t="e">
        <f>REPT(#REF!,#REF!)</f>
        <v>#REF!</v>
      </c>
      <c r="B363" s="247"/>
      <c r="C363" s="247"/>
      <c r="D363" s="173"/>
      <c r="E363" s="248" t="s">
        <v>1553</v>
      </c>
      <c r="F363" s="175" t="e">
        <f>REPT(#REF!,#REF!)</f>
        <v>#REF!</v>
      </c>
      <c r="G363" s="247"/>
      <c r="H363" s="247"/>
      <c r="I363" s="247"/>
      <c r="J363" s="247"/>
      <c r="K363" s="247"/>
      <c r="L363" s="11"/>
      <c r="M363" s="247"/>
      <c r="N363" s="247"/>
      <c r="O363" s="247"/>
      <c r="P363" s="247"/>
      <c r="Q363" s="247"/>
      <c r="R363" s="247"/>
      <c r="S363" s="247"/>
      <c r="T363" s="247"/>
    </row>
    <row r="364" spans="1:20" ht="30" customHeight="1" x14ac:dyDescent="0.25">
      <c r="A364" s="178" t="e">
        <f>REPT(#REF!,#REF!)</f>
        <v>#REF!</v>
      </c>
      <c r="B364" s="249"/>
      <c r="C364" s="179"/>
      <c r="D364" s="72"/>
      <c r="E364" s="250" t="s">
        <v>1553</v>
      </c>
      <c r="F364" s="192" t="e">
        <f>REPT(#REF!,#REF!)</f>
        <v>#REF!</v>
      </c>
      <c r="G364" s="251"/>
      <c r="H364" s="184"/>
      <c r="I364" s="183"/>
      <c r="J364" s="77"/>
      <c r="K364" s="77"/>
      <c r="L364" s="182"/>
      <c r="M364" s="183"/>
      <c r="N364" s="178"/>
      <c r="O364" s="187"/>
      <c r="P364" s="185"/>
      <c r="Q364" s="185"/>
      <c r="R364" s="185"/>
      <c r="S364" s="185"/>
      <c r="T364" s="187"/>
    </row>
    <row r="365" spans="1:20" ht="30" customHeight="1" x14ac:dyDescent="0.25">
      <c r="A365" s="24">
        <f>A362+1</f>
        <v>325</v>
      </c>
      <c r="B365" s="23"/>
      <c r="C365" s="24"/>
      <c r="D365" s="25"/>
      <c r="E365" s="26" t="s">
        <v>1553</v>
      </c>
      <c r="F365" s="26" t="s">
        <v>21</v>
      </c>
      <c r="G365" s="33"/>
      <c r="H365" s="43"/>
      <c r="I365" s="44" t="s">
        <v>673</v>
      </c>
      <c r="J365" s="24" t="s">
        <v>25</v>
      </c>
      <c r="K365" s="24" t="s">
        <v>33</v>
      </c>
      <c r="L365" s="65" t="s">
        <v>1554</v>
      </c>
      <c r="M365" s="33"/>
      <c r="N365" s="40"/>
      <c r="O365" s="30"/>
      <c r="P365" s="30"/>
      <c r="Q365" s="35"/>
      <c r="R365" s="30"/>
      <c r="S365" s="35"/>
      <c r="T365" s="36"/>
    </row>
    <row r="366" spans="1:20" ht="30" customHeight="1" x14ac:dyDescent="0.25">
      <c r="A366" s="24">
        <f t="shared" ref="A366:A387" si="13">A365+1</f>
        <v>326</v>
      </c>
      <c r="B366" s="23"/>
      <c r="C366" s="24"/>
      <c r="D366" s="24"/>
      <c r="E366" s="30" t="s">
        <v>1553</v>
      </c>
      <c r="F366" s="30" t="s">
        <v>21</v>
      </c>
      <c r="G366" s="33"/>
      <c r="H366" s="43"/>
      <c r="I366" s="44" t="s">
        <v>679</v>
      </c>
      <c r="J366" s="24" t="s">
        <v>33</v>
      </c>
      <c r="K366" s="24" t="s">
        <v>33</v>
      </c>
      <c r="L366" s="65" t="s">
        <v>1555</v>
      </c>
      <c r="M366" s="33"/>
      <c r="N366" s="40"/>
      <c r="O366" s="30"/>
      <c r="P366" s="30"/>
      <c r="Q366" s="35"/>
      <c r="R366" s="30"/>
      <c r="S366" s="35"/>
      <c r="T366" s="36"/>
    </row>
    <row r="367" spans="1:20" ht="30" customHeight="1" x14ac:dyDescent="0.25">
      <c r="A367" s="24">
        <f t="shared" si="13"/>
        <v>327</v>
      </c>
      <c r="B367" s="23"/>
      <c r="C367" s="24"/>
      <c r="D367" s="24"/>
      <c r="E367" s="30" t="s">
        <v>1553</v>
      </c>
      <c r="F367" s="30" t="s">
        <v>21</v>
      </c>
      <c r="G367" s="33"/>
      <c r="H367" s="43"/>
      <c r="I367" s="44" t="s">
        <v>681</v>
      </c>
      <c r="J367" s="41" t="s">
        <v>33</v>
      </c>
      <c r="K367" s="41" t="s">
        <v>43</v>
      </c>
      <c r="L367" s="45" t="s">
        <v>1556</v>
      </c>
      <c r="M367" s="33">
        <v>30609</v>
      </c>
      <c r="N367" s="40" t="s">
        <v>1557</v>
      </c>
      <c r="O367" s="30" t="s">
        <v>47</v>
      </c>
      <c r="P367" s="30" t="s">
        <v>48</v>
      </c>
      <c r="Q367" s="35" t="s">
        <v>1558</v>
      </c>
      <c r="R367" s="30"/>
      <c r="S367" s="35" t="s">
        <v>1559</v>
      </c>
      <c r="T367" s="53" t="s">
        <v>1560</v>
      </c>
    </row>
    <row r="368" spans="1:20" ht="30" customHeight="1" x14ac:dyDescent="0.25">
      <c r="A368" s="24">
        <f t="shared" si="13"/>
        <v>328</v>
      </c>
      <c r="B368" s="23"/>
      <c r="C368" s="24"/>
      <c r="D368" s="24"/>
      <c r="E368" s="30" t="s">
        <v>1553</v>
      </c>
      <c r="F368" s="30" t="s">
        <v>21</v>
      </c>
      <c r="G368" s="33"/>
      <c r="H368" s="43"/>
      <c r="I368" s="44" t="s">
        <v>42</v>
      </c>
      <c r="J368" s="30" t="s">
        <v>68</v>
      </c>
      <c r="K368" s="38">
        <v>59</v>
      </c>
      <c r="L368" s="230" t="s">
        <v>29</v>
      </c>
      <c r="M368" s="33"/>
      <c r="N368" s="40"/>
      <c r="O368" s="30"/>
      <c r="P368" s="30"/>
      <c r="Q368" s="35"/>
      <c r="R368" s="30"/>
      <c r="S368" s="35"/>
      <c r="T368" s="36"/>
    </row>
    <row r="369" spans="1:20" ht="30" customHeight="1" x14ac:dyDescent="0.25">
      <c r="A369" s="24">
        <f t="shared" si="13"/>
        <v>329</v>
      </c>
      <c r="B369" s="23"/>
      <c r="C369" s="24"/>
      <c r="D369" s="24"/>
      <c r="E369" s="30" t="s">
        <v>1553</v>
      </c>
      <c r="F369" s="30" t="s">
        <v>21</v>
      </c>
      <c r="G369" s="33"/>
      <c r="H369" s="43"/>
      <c r="I369" s="44" t="s">
        <v>687</v>
      </c>
      <c r="J369" s="30" t="s">
        <v>68</v>
      </c>
      <c r="K369" s="30" t="s">
        <v>68</v>
      </c>
      <c r="L369" s="65" t="s">
        <v>1561</v>
      </c>
      <c r="M369" s="33"/>
      <c r="N369" s="40"/>
      <c r="O369" s="30"/>
      <c r="P369" s="30"/>
      <c r="Q369" s="35"/>
      <c r="R369" s="30"/>
      <c r="S369" s="35"/>
      <c r="T369" s="36"/>
    </row>
    <row r="370" spans="1:20" ht="30" customHeight="1" x14ac:dyDescent="0.25">
      <c r="A370" s="24">
        <f t="shared" si="13"/>
        <v>330</v>
      </c>
      <c r="B370" s="23"/>
      <c r="C370" s="24"/>
      <c r="D370" s="24"/>
      <c r="E370" s="30" t="s">
        <v>1553</v>
      </c>
      <c r="F370" s="30" t="s">
        <v>21</v>
      </c>
      <c r="G370" s="33"/>
      <c r="H370" s="43"/>
      <c r="I370" s="44" t="s">
        <v>688</v>
      </c>
      <c r="J370" s="41" t="s">
        <v>33</v>
      </c>
      <c r="K370" s="38">
        <v>60</v>
      </c>
      <c r="L370" s="230" t="s">
        <v>29</v>
      </c>
      <c r="M370" s="33"/>
      <c r="N370" s="40"/>
      <c r="O370" s="30"/>
      <c r="P370" s="30"/>
      <c r="Q370" s="35"/>
      <c r="R370" s="30"/>
      <c r="S370" s="35"/>
      <c r="T370" s="36"/>
    </row>
    <row r="371" spans="1:20" ht="30" customHeight="1" x14ac:dyDescent="0.25">
      <c r="A371" s="24">
        <f t="shared" si="13"/>
        <v>331</v>
      </c>
      <c r="B371" s="23"/>
      <c r="C371" s="24"/>
      <c r="D371" s="24"/>
      <c r="E371" s="30" t="s">
        <v>1553</v>
      </c>
      <c r="F371" s="30" t="s">
        <v>21</v>
      </c>
      <c r="G371" s="33"/>
      <c r="H371" s="43"/>
      <c r="I371" s="44" t="s">
        <v>1562</v>
      </c>
      <c r="J371" s="24" t="s">
        <v>43</v>
      </c>
      <c r="K371" s="41" t="s">
        <v>68</v>
      </c>
      <c r="L371" s="52" t="s">
        <v>1563</v>
      </c>
      <c r="M371" s="33">
        <v>28601</v>
      </c>
      <c r="N371" s="40" t="s">
        <v>1564</v>
      </c>
      <c r="O371" s="30" t="s">
        <v>1425</v>
      </c>
      <c r="P371" s="30" t="s">
        <v>48</v>
      </c>
      <c r="Q371" s="35" t="s">
        <v>1565</v>
      </c>
      <c r="R371" s="30">
        <v>2</v>
      </c>
      <c r="S371" s="35" t="s">
        <v>1566</v>
      </c>
      <c r="T371" s="53" t="s">
        <v>1567</v>
      </c>
    </row>
    <row r="372" spans="1:20" ht="30" customHeight="1" x14ac:dyDescent="0.25">
      <c r="A372" s="24">
        <f t="shared" si="13"/>
        <v>332</v>
      </c>
      <c r="B372" s="23"/>
      <c r="C372" s="24"/>
      <c r="D372" s="24"/>
      <c r="E372" s="30" t="s">
        <v>1553</v>
      </c>
      <c r="F372" s="30" t="s">
        <v>21</v>
      </c>
      <c r="G372" s="33"/>
      <c r="H372" s="43"/>
      <c r="I372" s="44" t="s">
        <v>691</v>
      </c>
      <c r="J372" s="24" t="s">
        <v>43</v>
      </c>
      <c r="K372" s="117" t="s">
        <v>68</v>
      </c>
      <c r="L372" s="45" t="s">
        <v>1568</v>
      </c>
      <c r="M372" s="33">
        <v>28077</v>
      </c>
      <c r="N372" s="40" t="s">
        <v>1569</v>
      </c>
      <c r="O372" s="30" t="s">
        <v>1425</v>
      </c>
      <c r="P372" s="30" t="s">
        <v>48</v>
      </c>
      <c r="Q372" s="35" t="s">
        <v>1570</v>
      </c>
      <c r="R372" s="30">
        <v>1</v>
      </c>
      <c r="S372" s="35" t="s">
        <v>1571</v>
      </c>
      <c r="T372" s="53" t="s">
        <v>1572</v>
      </c>
    </row>
    <row r="373" spans="1:20" ht="30" customHeight="1" x14ac:dyDescent="0.25">
      <c r="A373" s="24">
        <f t="shared" si="13"/>
        <v>333</v>
      </c>
      <c r="B373" s="23"/>
      <c r="C373" s="24"/>
      <c r="D373" s="24"/>
      <c r="E373" s="30" t="s">
        <v>1553</v>
      </c>
      <c r="F373" s="30" t="s">
        <v>21</v>
      </c>
      <c r="G373" s="33"/>
      <c r="H373" s="43"/>
      <c r="I373" s="44" t="s">
        <v>1573</v>
      </c>
      <c r="J373" s="24" t="s">
        <v>68</v>
      </c>
      <c r="K373" s="41" t="s">
        <v>100</v>
      </c>
      <c r="L373" s="150" t="s">
        <v>1574</v>
      </c>
      <c r="M373" s="33">
        <v>35677</v>
      </c>
      <c r="N373" s="40" t="s">
        <v>1575</v>
      </c>
      <c r="O373" s="30" t="s">
        <v>47</v>
      </c>
      <c r="P373" s="30" t="s">
        <v>37</v>
      </c>
      <c r="Q373" s="35" t="s">
        <v>1576</v>
      </c>
      <c r="R373" s="30"/>
      <c r="S373" s="35" t="s">
        <v>1577</v>
      </c>
      <c r="T373" s="47" t="s">
        <v>1578</v>
      </c>
    </row>
    <row r="374" spans="1:20" ht="30" customHeight="1" x14ac:dyDescent="0.25">
      <c r="A374" s="24">
        <f t="shared" si="13"/>
        <v>334</v>
      </c>
      <c r="B374" s="23"/>
      <c r="C374" s="24"/>
      <c r="D374" s="24"/>
      <c r="E374" s="30" t="s">
        <v>1553</v>
      </c>
      <c r="F374" s="30" t="s">
        <v>21</v>
      </c>
      <c r="G374" s="33"/>
      <c r="H374" s="43"/>
      <c r="I374" s="44" t="s">
        <v>1579</v>
      </c>
      <c r="J374" s="24" t="s">
        <v>68</v>
      </c>
      <c r="K374" s="68" t="s">
        <v>68</v>
      </c>
      <c r="L374" s="52" t="s">
        <v>1580</v>
      </c>
      <c r="M374" s="33">
        <v>31882</v>
      </c>
      <c r="N374" s="40" t="s">
        <v>1581</v>
      </c>
      <c r="O374" s="30" t="s">
        <v>47</v>
      </c>
      <c r="P374" s="30" t="s">
        <v>48</v>
      </c>
      <c r="Q374" s="35" t="s">
        <v>1582</v>
      </c>
      <c r="R374" s="30"/>
      <c r="S374" s="35" t="s">
        <v>84</v>
      </c>
      <c r="T374" s="53" t="s">
        <v>1583</v>
      </c>
    </row>
    <row r="375" spans="1:20" ht="30" customHeight="1" x14ac:dyDescent="0.25">
      <c r="A375" s="24">
        <f t="shared" si="13"/>
        <v>335</v>
      </c>
      <c r="B375" s="23"/>
      <c r="C375" s="24"/>
      <c r="D375" s="24"/>
      <c r="E375" s="30" t="s">
        <v>1553</v>
      </c>
      <c r="F375" s="30" t="s">
        <v>21</v>
      </c>
      <c r="G375" s="33"/>
      <c r="H375" s="43"/>
      <c r="I375" s="44" t="s">
        <v>174</v>
      </c>
      <c r="J375" s="41" t="s">
        <v>68</v>
      </c>
      <c r="K375" s="41" t="s">
        <v>68</v>
      </c>
      <c r="L375" s="45" t="s">
        <v>1584</v>
      </c>
      <c r="M375" s="33">
        <v>29671</v>
      </c>
      <c r="N375" s="40" t="s">
        <v>1585</v>
      </c>
      <c r="O375" s="30" t="s">
        <v>47</v>
      </c>
      <c r="P375" s="30" t="s">
        <v>48</v>
      </c>
      <c r="Q375" s="35" t="s">
        <v>1586</v>
      </c>
      <c r="R375" s="30">
        <v>1</v>
      </c>
      <c r="S375" s="35" t="s">
        <v>1587</v>
      </c>
      <c r="T375" s="53" t="s">
        <v>1588</v>
      </c>
    </row>
    <row r="376" spans="1:20" ht="30" customHeight="1" x14ac:dyDescent="0.25">
      <c r="A376" s="24">
        <f t="shared" si="13"/>
        <v>336</v>
      </c>
      <c r="B376" s="23"/>
      <c r="C376" s="24"/>
      <c r="D376" s="24"/>
      <c r="E376" s="30" t="s">
        <v>1553</v>
      </c>
      <c r="F376" s="30" t="s">
        <v>21</v>
      </c>
      <c r="G376" s="33"/>
      <c r="H376" s="43"/>
      <c r="I376" s="44" t="s">
        <v>713</v>
      </c>
      <c r="J376" s="41" t="s">
        <v>68</v>
      </c>
      <c r="K376" s="117" t="s">
        <v>100</v>
      </c>
      <c r="L376" s="150" t="s">
        <v>1589</v>
      </c>
      <c r="M376" s="33">
        <v>35916</v>
      </c>
      <c r="N376" s="198" t="s">
        <v>1590</v>
      </c>
      <c r="O376" s="30" t="s">
        <v>47</v>
      </c>
      <c r="P376" s="24" t="s">
        <v>37</v>
      </c>
      <c r="Q376" s="210" t="s">
        <v>1591</v>
      </c>
      <c r="R376" s="211"/>
      <c r="S376" s="210" t="s">
        <v>1592</v>
      </c>
      <c r="T376" s="47" t="s">
        <v>1593</v>
      </c>
    </row>
    <row r="377" spans="1:20" ht="30" customHeight="1" x14ac:dyDescent="0.25">
      <c r="A377" s="24">
        <f t="shared" si="13"/>
        <v>337</v>
      </c>
      <c r="B377" s="23"/>
      <c r="C377" s="24"/>
      <c r="D377" s="24"/>
      <c r="E377" s="30" t="s">
        <v>1553</v>
      </c>
      <c r="F377" s="30" t="s">
        <v>21</v>
      </c>
      <c r="G377" s="33"/>
      <c r="H377" s="43"/>
      <c r="I377" s="44" t="s">
        <v>226</v>
      </c>
      <c r="J377" s="41" t="s">
        <v>68</v>
      </c>
      <c r="K377" s="41" t="s">
        <v>44</v>
      </c>
      <c r="L377" s="65" t="s">
        <v>1594</v>
      </c>
      <c r="M377" s="33"/>
      <c r="N377" s="40"/>
      <c r="O377" s="30"/>
      <c r="P377" s="30"/>
      <c r="Q377" s="35"/>
      <c r="R377" s="30"/>
      <c r="S377" s="35"/>
      <c r="T377" s="36"/>
    </row>
    <row r="378" spans="1:20" ht="30" customHeight="1" x14ac:dyDescent="0.25">
      <c r="A378" s="24">
        <f t="shared" si="13"/>
        <v>338</v>
      </c>
      <c r="B378" s="23"/>
      <c r="C378" s="24"/>
      <c r="D378" s="24"/>
      <c r="E378" s="30" t="s">
        <v>1553</v>
      </c>
      <c r="F378" s="30" t="s">
        <v>21</v>
      </c>
      <c r="G378" s="33"/>
      <c r="H378" s="43"/>
      <c r="I378" s="44" t="s">
        <v>229</v>
      </c>
      <c r="J378" s="41" t="s">
        <v>68</v>
      </c>
      <c r="K378" s="38">
        <v>61</v>
      </c>
      <c r="L378" s="230" t="s">
        <v>29</v>
      </c>
      <c r="M378" s="33"/>
      <c r="N378" s="40"/>
      <c r="O378" s="30"/>
      <c r="P378" s="30"/>
      <c r="Q378" s="35"/>
      <c r="R378" s="30"/>
      <c r="S378" s="35"/>
      <c r="T378" s="36"/>
    </row>
    <row r="379" spans="1:20" ht="30" customHeight="1" x14ac:dyDescent="0.25">
      <c r="A379" s="24">
        <f t="shared" si="13"/>
        <v>339</v>
      </c>
      <c r="B379" s="23"/>
      <c r="C379" s="24"/>
      <c r="D379" s="24"/>
      <c r="E379" s="30" t="s">
        <v>1553</v>
      </c>
      <c r="F379" s="30" t="s">
        <v>21</v>
      </c>
      <c r="G379" s="33"/>
      <c r="H379" s="43"/>
      <c r="I379" s="44" t="s">
        <v>235</v>
      </c>
      <c r="J379" s="41" t="s">
        <v>760</v>
      </c>
      <c r="K379" s="41" t="s">
        <v>760</v>
      </c>
      <c r="L379" s="65" t="s">
        <v>1595</v>
      </c>
      <c r="M379" s="33"/>
      <c r="N379" s="40"/>
      <c r="O379" s="30"/>
      <c r="P379" s="30"/>
      <c r="Q379" s="35"/>
      <c r="R379" s="30"/>
      <c r="S379" s="35"/>
      <c r="T379" s="36"/>
    </row>
    <row r="380" spans="1:20" ht="30" customHeight="1" x14ac:dyDescent="0.25">
      <c r="A380" s="24">
        <f t="shared" si="13"/>
        <v>340</v>
      </c>
      <c r="B380" s="23"/>
      <c r="C380" s="24"/>
      <c r="D380" s="24"/>
      <c r="E380" s="30" t="s">
        <v>1553</v>
      </c>
      <c r="F380" s="30" t="s">
        <v>21</v>
      </c>
      <c r="G380" s="33"/>
      <c r="H380" s="43"/>
      <c r="I380" s="44" t="s">
        <v>762</v>
      </c>
      <c r="J380" s="41" t="s">
        <v>33</v>
      </c>
      <c r="K380" s="38"/>
      <c r="L380" s="230" t="s">
        <v>29</v>
      </c>
      <c r="M380" s="33"/>
      <c r="N380" s="40"/>
      <c r="O380" s="30"/>
      <c r="P380" s="30"/>
      <c r="Q380" s="35"/>
      <c r="R380" s="30"/>
      <c r="S380" s="35"/>
      <c r="T380" s="36"/>
    </row>
    <row r="381" spans="1:20" ht="30" customHeight="1" x14ac:dyDescent="0.25">
      <c r="A381" s="24">
        <f t="shared" si="13"/>
        <v>341</v>
      </c>
      <c r="B381" s="23"/>
      <c r="C381" s="24"/>
      <c r="D381" s="24"/>
      <c r="E381" s="30" t="s">
        <v>1553</v>
      </c>
      <c r="F381" s="30" t="s">
        <v>21</v>
      </c>
      <c r="G381" s="33"/>
      <c r="H381" s="43"/>
      <c r="I381" s="44" t="s">
        <v>249</v>
      </c>
      <c r="J381" s="41" t="s">
        <v>68</v>
      </c>
      <c r="K381" s="41" t="s">
        <v>68</v>
      </c>
      <c r="L381" s="65" t="s">
        <v>1596</v>
      </c>
      <c r="M381" s="33"/>
      <c r="N381" s="40"/>
      <c r="O381" s="30"/>
      <c r="P381" s="30"/>
      <c r="Q381" s="35"/>
      <c r="R381" s="30"/>
      <c r="S381" s="35"/>
      <c r="T381" s="36"/>
    </row>
    <row r="382" spans="1:20" ht="30" customHeight="1" x14ac:dyDescent="0.25">
      <c r="A382" s="24">
        <f t="shared" si="13"/>
        <v>342</v>
      </c>
      <c r="B382" s="23"/>
      <c r="C382" s="24"/>
      <c r="D382" s="24"/>
      <c r="E382" s="30" t="s">
        <v>1553</v>
      </c>
      <c r="F382" s="30" t="s">
        <v>21</v>
      </c>
      <c r="G382" s="33"/>
      <c r="H382" s="43"/>
      <c r="I382" s="44" t="s">
        <v>261</v>
      </c>
      <c r="J382" s="41" t="s">
        <v>44</v>
      </c>
      <c r="K382" s="38">
        <v>62</v>
      </c>
      <c r="L382" s="230" t="s">
        <v>29</v>
      </c>
      <c r="M382" s="33"/>
      <c r="N382" s="40"/>
      <c r="O382" s="30"/>
      <c r="P382" s="30"/>
      <c r="Q382" s="35"/>
      <c r="R382" s="30"/>
      <c r="S382" s="35"/>
      <c r="T382" s="36"/>
    </row>
    <row r="383" spans="1:20" ht="30" customHeight="1" x14ac:dyDescent="0.25">
      <c r="A383" s="24">
        <f t="shared" si="13"/>
        <v>343</v>
      </c>
      <c r="B383" s="23"/>
      <c r="C383" s="24"/>
      <c r="D383" s="24"/>
      <c r="E383" s="30" t="s">
        <v>1553</v>
      </c>
      <c r="F383" s="30" t="s">
        <v>21</v>
      </c>
      <c r="G383" s="33"/>
      <c r="H383" s="43"/>
      <c r="I383" s="44" t="s">
        <v>262</v>
      </c>
      <c r="J383" s="41" t="s">
        <v>68</v>
      </c>
      <c r="K383" s="38">
        <v>63</v>
      </c>
      <c r="L383" s="230" t="s">
        <v>29</v>
      </c>
      <c r="M383" s="33"/>
      <c r="N383" s="40"/>
      <c r="O383" s="30"/>
      <c r="P383" s="30"/>
      <c r="Q383" s="35"/>
      <c r="R383" s="30"/>
      <c r="S383" s="35"/>
      <c r="T383" s="36"/>
    </row>
    <row r="384" spans="1:20" ht="30" customHeight="1" x14ac:dyDescent="0.25">
      <c r="A384" s="24">
        <f t="shared" si="13"/>
        <v>344</v>
      </c>
      <c r="B384" s="23"/>
      <c r="C384" s="24"/>
      <c r="D384" s="24"/>
      <c r="E384" s="30" t="s">
        <v>1553</v>
      </c>
      <c r="F384" s="30" t="s">
        <v>21</v>
      </c>
      <c r="G384" s="33"/>
      <c r="H384" s="43"/>
      <c r="I384" s="44" t="s">
        <v>269</v>
      </c>
      <c r="J384" s="41" t="s">
        <v>68</v>
      </c>
      <c r="K384" s="38">
        <v>64</v>
      </c>
      <c r="L384" s="230" t="s">
        <v>29</v>
      </c>
      <c r="M384" s="33"/>
      <c r="N384" s="40"/>
      <c r="O384" s="30"/>
      <c r="P384" s="30"/>
      <c r="Q384" s="35"/>
      <c r="R384" s="30"/>
      <c r="S384" s="35"/>
      <c r="T384" s="36"/>
    </row>
    <row r="385" spans="1:20" ht="30" customHeight="1" x14ac:dyDescent="0.25">
      <c r="A385" s="24">
        <f t="shared" si="13"/>
        <v>345</v>
      </c>
      <c r="B385" s="23"/>
      <c r="C385" s="24"/>
      <c r="D385" s="24"/>
      <c r="E385" s="30" t="s">
        <v>1553</v>
      </c>
      <c r="F385" s="30" t="s">
        <v>21</v>
      </c>
      <c r="G385" s="33"/>
      <c r="H385" s="43"/>
      <c r="I385" s="44" t="s">
        <v>773</v>
      </c>
      <c r="J385" s="41" t="s">
        <v>33</v>
      </c>
      <c r="K385" s="38">
        <v>65</v>
      </c>
      <c r="L385" s="230" t="s">
        <v>29</v>
      </c>
      <c r="M385" s="33"/>
      <c r="N385" s="40"/>
      <c r="O385" s="30"/>
      <c r="P385" s="30"/>
      <c r="Q385" s="35"/>
      <c r="R385" s="30"/>
      <c r="S385" s="35"/>
      <c r="T385" s="36"/>
    </row>
    <row r="386" spans="1:20" ht="30" customHeight="1" x14ac:dyDescent="0.25">
      <c r="A386" s="24">
        <f t="shared" si="13"/>
        <v>346</v>
      </c>
      <c r="B386" s="23"/>
      <c r="C386" s="24"/>
      <c r="D386" s="24"/>
      <c r="E386" s="30" t="s">
        <v>1553</v>
      </c>
      <c r="F386" s="30" t="s">
        <v>21</v>
      </c>
      <c r="G386" s="33"/>
      <c r="H386" s="43"/>
      <c r="I386" s="44" t="s">
        <v>286</v>
      </c>
      <c r="J386" s="41" t="s">
        <v>68</v>
      </c>
      <c r="K386" s="41" t="s">
        <v>44</v>
      </c>
      <c r="L386" s="65" t="s">
        <v>1597</v>
      </c>
      <c r="M386" s="33"/>
      <c r="N386" s="40"/>
      <c r="O386" s="30"/>
      <c r="P386" s="30"/>
      <c r="Q386" s="35"/>
      <c r="R386" s="30"/>
      <c r="S386" s="35"/>
      <c r="T386" s="36"/>
    </row>
    <row r="387" spans="1:20" ht="30" customHeight="1" x14ac:dyDescent="0.25">
      <c r="A387" s="24">
        <f t="shared" si="13"/>
        <v>347</v>
      </c>
      <c r="B387" s="23"/>
      <c r="C387" s="24"/>
      <c r="D387" s="67"/>
      <c r="E387" s="68" t="s">
        <v>1553</v>
      </c>
      <c r="F387" s="68" t="s">
        <v>21</v>
      </c>
      <c r="G387" s="69"/>
      <c r="H387" s="43"/>
      <c r="I387" s="44" t="s">
        <v>1598</v>
      </c>
      <c r="J387" s="41" t="s">
        <v>68</v>
      </c>
      <c r="K387" s="41" t="s">
        <v>44</v>
      </c>
      <c r="L387" s="65" t="s">
        <v>1599</v>
      </c>
      <c r="M387" s="33"/>
      <c r="N387" s="40"/>
      <c r="O387" s="30"/>
      <c r="P387" s="30"/>
      <c r="Q387" s="35"/>
      <c r="R387" s="30"/>
      <c r="S387" s="35"/>
      <c r="T387" s="36"/>
    </row>
    <row r="388" spans="1:20" ht="30" customHeight="1" x14ac:dyDescent="0.25">
      <c r="A388" s="70" t="e">
        <f>REPT(#REF!,#REF!)</f>
        <v>#REF!</v>
      </c>
      <c r="B388" s="71"/>
      <c r="C388" s="72"/>
      <c r="D388" s="72"/>
      <c r="E388" s="250" t="s">
        <v>1553</v>
      </c>
      <c r="F388" s="74" t="e">
        <f>REPT(#REF!,#REF!)</f>
        <v>#REF!</v>
      </c>
      <c r="G388" s="75"/>
      <c r="H388" s="75"/>
      <c r="I388" s="76"/>
      <c r="J388" s="77"/>
      <c r="K388" s="77"/>
      <c r="L388" s="182"/>
      <c r="M388" s="183"/>
      <c r="N388" s="178"/>
      <c r="O388" s="184"/>
      <c r="P388" s="185"/>
      <c r="Q388" s="185"/>
      <c r="R388" s="185"/>
      <c r="S388" s="186"/>
      <c r="T388" s="187"/>
    </row>
    <row r="389" spans="1:20" ht="30" customHeight="1" x14ac:dyDescent="0.25">
      <c r="A389" s="24">
        <f>A387+1</f>
        <v>348</v>
      </c>
      <c r="B389" s="23" t="s">
        <v>200</v>
      </c>
      <c r="C389" s="24"/>
      <c r="D389" s="25"/>
      <c r="E389" s="26" t="s">
        <v>1553</v>
      </c>
      <c r="F389" s="26" t="s">
        <v>1600</v>
      </c>
      <c r="G389" s="87"/>
      <c r="H389" s="37" t="s">
        <v>27</v>
      </c>
      <c r="I389" s="88" t="s">
        <v>1601</v>
      </c>
      <c r="J389" s="41" t="s">
        <v>33</v>
      </c>
      <c r="K389" s="41" t="s">
        <v>43</v>
      </c>
      <c r="L389" s="45" t="s">
        <v>1602</v>
      </c>
      <c r="M389" s="33">
        <v>31943</v>
      </c>
      <c r="N389" s="40" t="s">
        <v>1603</v>
      </c>
      <c r="O389" s="30" t="s">
        <v>47</v>
      </c>
      <c r="P389" s="30" t="s">
        <v>37</v>
      </c>
      <c r="Q389" s="35" t="s">
        <v>1604</v>
      </c>
      <c r="R389" s="30"/>
      <c r="S389" s="35" t="s">
        <v>1605</v>
      </c>
      <c r="T389" s="53" t="s">
        <v>1606</v>
      </c>
    </row>
    <row r="390" spans="1:20" ht="30" customHeight="1" x14ac:dyDescent="0.25">
      <c r="A390" s="24">
        <f t="shared" ref="A390:A395" si="14">A389+1</f>
        <v>349</v>
      </c>
      <c r="B390" s="23" t="s">
        <v>200</v>
      </c>
      <c r="C390" s="24"/>
      <c r="D390" s="24"/>
      <c r="E390" s="30" t="s">
        <v>1553</v>
      </c>
      <c r="F390" s="30" t="s">
        <v>1600</v>
      </c>
      <c r="G390" s="33"/>
      <c r="H390" s="37" t="s">
        <v>27</v>
      </c>
      <c r="I390" s="90" t="s">
        <v>1607</v>
      </c>
      <c r="J390" s="41" t="s">
        <v>43</v>
      </c>
      <c r="K390" s="41" t="s">
        <v>43</v>
      </c>
      <c r="L390" s="45" t="s">
        <v>1608</v>
      </c>
      <c r="M390" s="33">
        <v>30680</v>
      </c>
      <c r="N390" s="40" t="s">
        <v>1609</v>
      </c>
      <c r="O390" s="30" t="s">
        <v>47</v>
      </c>
      <c r="P390" s="30" t="s">
        <v>37</v>
      </c>
      <c r="Q390" s="35" t="s">
        <v>1610</v>
      </c>
      <c r="R390" s="30"/>
      <c r="S390" s="35" t="s">
        <v>1611</v>
      </c>
      <c r="T390" s="53" t="s">
        <v>1612</v>
      </c>
    </row>
    <row r="391" spans="1:20" ht="30" customHeight="1" x14ac:dyDescent="0.25">
      <c r="A391" s="24">
        <f t="shared" si="14"/>
        <v>350</v>
      </c>
      <c r="B391" s="23" t="s">
        <v>200</v>
      </c>
      <c r="C391" s="24" t="s">
        <v>313</v>
      </c>
      <c r="D391" s="24"/>
      <c r="E391" s="30" t="s">
        <v>1553</v>
      </c>
      <c r="F391" s="30" t="s">
        <v>1600</v>
      </c>
      <c r="G391" s="33"/>
      <c r="H391" s="37" t="s">
        <v>27</v>
      </c>
      <c r="I391" s="90" t="s">
        <v>1613</v>
      </c>
      <c r="J391" s="41" t="s">
        <v>43</v>
      </c>
      <c r="K391" s="41" t="s">
        <v>43</v>
      </c>
      <c r="L391" s="45" t="s">
        <v>1614</v>
      </c>
      <c r="M391" s="33">
        <v>32006</v>
      </c>
      <c r="N391" s="40" t="s">
        <v>1615</v>
      </c>
      <c r="O391" s="30" t="s">
        <v>946</v>
      </c>
      <c r="P391" s="30" t="s">
        <v>48</v>
      </c>
      <c r="Q391" s="35" t="s">
        <v>1616</v>
      </c>
      <c r="R391" s="30">
        <v>2</v>
      </c>
      <c r="S391" s="35" t="s">
        <v>1617</v>
      </c>
      <c r="T391" s="53" t="s">
        <v>1618</v>
      </c>
    </row>
    <row r="392" spans="1:20" ht="30" customHeight="1" x14ac:dyDescent="0.25">
      <c r="A392" s="24">
        <f t="shared" si="14"/>
        <v>351</v>
      </c>
      <c r="B392" s="23" t="s">
        <v>200</v>
      </c>
      <c r="C392" s="24"/>
      <c r="D392" s="24" t="s">
        <v>185</v>
      </c>
      <c r="E392" s="30" t="s">
        <v>1553</v>
      </c>
      <c r="F392" s="30" t="s">
        <v>1600</v>
      </c>
      <c r="G392" s="33"/>
      <c r="H392" s="37" t="s">
        <v>27</v>
      </c>
      <c r="I392" s="44" t="s">
        <v>1619</v>
      </c>
      <c r="J392" s="41" t="s">
        <v>44</v>
      </c>
      <c r="K392" s="38">
        <v>66</v>
      </c>
      <c r="L392" s="39" t="s">
        <v>29</v>
      </c>
      <c r="M392" s="33"/>
      <c r="N392" s="40"/>
      <c r="O392" s="30"/>
      <c r="P392" s="30"/>
      <c r="Q392" s="35"/>
      <c r="R392" s="30"/>
      <c r="S392" s="35"/>
      <c r="T392" s="36"/>
    </row>
    <row r="393" spans="1:20" ht="30" customHeight="1" x14ac:dyDescent="0.25">
      <c r="A393" s="24">
        <f t="shared" si="14"/>
        <v>352</v>
      </c>
      <c r="B393" s="23" t="s">
        <v>200</v>
      </c>
      <c r="C393" s="24"/>
      <c r="D393" s="24"/>
      <c r="E393" s="30" t="s">
        <v>1553</v>
      </c>
      <c r="F393" s="30" t="s">
        <v>1600</v>
      </c>
      <c r="G393" s="33"/>
      <c r="H393" s="43" t="s">
        <v>41</v>
      </c>
      <c r="I393" s="91" t="s">
        <v>1620</v>
      </c>
      <c r="J393" s="41" t="s">
        <v>68</v>
      </c>
      <c r="K393" s="41" t="s">
        <v>68</v>
      </c>
      <c r="L393" s="45" t="s">
        <v>1621</v>
      </c>
      <c r="M393" s="33">
        <v>30841</v>
      </c>
      <c r="N393" s="40" t="s">
        <v>1622</v>
      </c>
      <c r="O393" s="30" t="s">
        <v>47</v>
      </c>
      <c r="P393" s="30" t="s">
        <v>48</v>
      </c>
      <c r="Q393" s="35" t="s">
        <v>1623</v>
      </c>
      <c r="R393" s="30">
        <v>2</v>
      </c>
      <c r="S393" s="35" t="s">
        <v>1624</v>
      </c>
      <c r="T393" s="47" t="s">
        <v>1625</v>
      </c>
    </row>
    <row r="394" spans="1:20" ht="30" customHeight="1" x14ac:dyDescent="0.25">
      <c r="A394" s="24">
        <f t="shared" si="14"/>
        <v>353</v>
      </c>
      <c r="B394" s="23" t="s">
        <v>200</v>
      </c>
      <c r="C394" s="24"/>
      <c r="D394" s="24" t="s">
        <v>185</v>
      </c>
      <c r="E394" s="30" t="s">
        <v>1553</v>
      </c>
      <c r="F394" s="30" t="s">
        <v>1600</v>
      </c>
      <c r="G394" s="33"/>
      <c r="H394" s="43" t="s">
        <v>41</v>
      </c>
      <c r="I394" s="92" t="s">
        <v>1626</v>
      </c>
      <c r="J394" s="41" t="s">
        <v>44</v>
      </c>
      <c r="K394" s="38">
        <v>66</v>
      </c>
      <c r="L394" s="39" t="s">
        <v>29</v>
      </c>
      <c r="M394" s="69"/>
      <c r="N394" s="134"/>
      <c r="O394" s="68"/>
      <c r="P394" s="68"/>
      <c r="Q394" s="135"/>
      <c r="R394" s="68"/>
      <c r="S394" s="135"/>
      <c r="T394" s="136"/>
    </row>
    <row r="395" spans="1:20" ht="30" customHeight="1" x14ac:dyDescent="0.25">
      <c r="A395" s="24">
        <f t="shared" si="14"/>
        <v>354</v>
      </c>
      <c r="B395" s="23" t="s">
        <v>200</v>
      </c>
      <c r="C395" s="24"/>
      <c r="D395" s="24" t="s">
        <v>185</v>
      </c>
      <c r="E395" s="30" t="s">
        <v>1553</v>
      </c>
      <c r="F395" s="30" t="s">
        <v>1600</v>
      </c>
      <c r="G395" s="33"/>
      <c r="H395" s="43" t="s">
        <v>41</v>
      </c>
      <c r="I395" s="92" t="s">
        <v>1627</v>
      </c>
      <c r="J395" s="54" t="s">
        <v>44</v>
      </c>
      <c r="K395" s="146" t="s">
        <v>68</v>
      </c>
      <c r="L395" s="45" t="s">
        <v>1628</v>
      </c>
      <c r="M395" s="33">
        <v>31139</v>
      </c>
      <c r="N395" s="40"/>
      <c r="O395" s="30"/>
      <c r="P395" s="30"/>
      <c r="Q395" s="35"/>
      <c r="R395" s="30"/>
      <c r="S395" s="35"/>
      <c r="T395" s="36"/>
    </row>
    <row r="396" spans="1:20" ht="30" customHeight="1" x14ac:dyDescent="0.25">
      <c r="A396" s="24"/>
      <c r="B396" s="23"/>
      <c r="C396" s="24"/>
      <c r="D396" s="24"/>
      <c r="E396" s="30" t="s">
        <v>1553</v>
      </c>
      <c r="F396" s="30" t="s">
        <v>1600</v>
      </c>
      <c r="G396" s="33"/>
      <c r="H396" s="43"/>
      <c r="I396" s="92" t="s">
        <v>1627</v>
      </c>
      <c r="J396" s="41"/>
      <c r="K396" s="98"/>
      <c r="L396" s="63" t="s">
        <v>1629</v>
      </c>
      <c r="M396" s="87"/>
      <c r="N396" s="130"/>
      <c r="O396" s="26"/>
      <c r="P396" s="26"/>
      <c r="Q396" s="131"/>
      <c r="R396" s="26"/>
      <c r="S396" s="131"/>
      <c r="T396" s="189"/>
    </row>
    <row r="397" spans="1:20" ht="30" customHeight="1" x14ac:dyDescent="0.25">
      <c r="A397" s="24">
        <f>A395+1</f>
        <v>355</v>
      </c>
      <c r="B397" s="23" t="s">
        <v>200</v>
      </c>
      <c r="C397" s="24"/>
      <c r="D397" s="24" t="s">
        <v>185</v>
      </c>
      <c r="E397" s="30" t="s">
        <v>1553</v>
      </c>
      <c r="F397" s="30" t="s">
        <v>1600</v>
      </c>
      <c r="G397" s="33"/>
      <c r="H397" s="43" t="s">
        <v>41</v>
      </c>
      <c r="I397" s="92" t="s">
        <v>1630</v>
      </c>
      <c r="J397" s="41" t="s">
        <v>44</v>
      </c>
      <c r="K397" s="38">
        <v>67</v>
      </c>
      <c r="L397" s="39" t="s">
        <v>29</v>
      </c>
      <c r="M397" s="87"/>
      <c r="N397" s="130"/>
      <c r="O397" s="26"/>
      <c r="P397" s="26"/>
      <c r="Q397" s="131"/>
      <c r="R397" s="26"/>
      <c r="S397" s="131"/>
      <c r="T397" s="189"/>
    </row>
    <row r="398" spans="1:20" ht="30" customHeight="1" x14ac:dyDescent="0.25">
      <c r="A398" s="24">
        <f t="shared" ref="A398:A406" si="15">A397+1</f>
        <v>356</v>
      </c>
      <c r="B398" s="23" t="s">
        <v>200</v>
      </c>
      <c r="C398" s="24"/>
      <c r="D398" s="24"/>
      <c r="E398" s="30" t="s">
        <v>1553</v>
      </c>
      <c r="F398" s="30" t="s">
        <v>1600</v>
      </c>
      <c r="G398" s="33"/>
      <c r="H398" s="43" t="s">
        <v>41</v>
      </c>
      <c r="I398" s="91" t="s">
        <v>1631</v>
      </c>
      <c r="J398" s="41" t="s">
        <v>68</v>
      </c>
      <c r="K398" s="128" t="s">
        <v>100</v>
      </c>
      <c r="L398" s="209" t="s">
        <v>1632</v>
      </c>
      <c r="M398" s="87">
        <v>31169</v>
      </c>
      <c r="N398" s="130" t="s">
        <v>1633</v>
      </c>
      <c r="O398" s="26" t="s">
        <v>47</v>
      </c>
      <c r="P398" s="26" t="s">
        <v>48</v>
      </c>
      <c r="Q398" s="131" t="s">
        <v>1634</v>
      </c>
      <c r="R398" s="26">
        <v>3</v>
      </c>
      <c r="S398" s="131" t="e">
        <f>#N/A</f>
        <v>#N/A</v>
      </c>
      <c r="T398" s="252" t="s">
        <v>1635</v>
      </c>
    </row>
    <row r="399" spans="1:20" ht="30" customHeight="1" x14ac:dyDescent="0.25">
      <c r="A399" s="24">
        <f t="shared" si="15"/>
        <v>357</v>
      </c>
      <c r="B399" s="23" t="s">
        <v>200</v>
      </c>
      <c r="C399" s="24"/>
      <c r="D399" s="24" t="s">
        <v>185</v>
      </c>
      <c r="E399" s="30" t="s">
        <v>1553</v>
      </c>
      <c r="F399" s="30" t="s">
        <v>1600</v>
      </c>
      <c r="G399" s="33"/>
      <c r="H399" s="43" t="s">
        <v>41</v>
      </c>
      <c r="I399" s="92" t="s">
        <v>1636</v>
      </c>
      <c r="J399" s="41" t="s">
        <v>44</v>
      </c>
      <c r="K399" s="38">
        <v>68</v>
      </c>
      <c r="L399" s="39" t="s">
        <v>29</v>
      </c>
      <c r="M399" s="46"/>
      <c r="N399" s="48"/>
      <c r="O399" s="49"/>
      <c r="P399" s="46"/>
      <c r="Q399" s="50"/>
      <c r="R399" s="46"/>
      <c r="S399" s="50"/>
      <c r="T399" s="51"/>
    </row>
    <row r="400" spans="1:20" ht="30" customHeight="1" x14ac:dyDescent="0.25">
      <c r="A400" s="24">
        <f t="shared" si="15"/>
        <v>358</v>
      </c>
      <c r="B400" s="23" t="s">
        <v>200</v>
      </c>
      <c r="C400" s="24"/>
      <c r="D400" s="24" t="s">
        <v>185</v>
      </c>
      <c r="E400" s="30" t="s">
        <v>1553</v>
      </c>
      <c r="F400" s="30" t="s">
        <v>1600</v>
      </c>
      <c r="G400" s="33"/>
      <c r="H400" s="43" t="s">
        <v>41</v>
      </c>
      <c r="I400" s="92" t="s">
        <v>1637</v>
      </c>
      <c r="J400" s="41" t="s">
        <v>44</v>
      </c>
      <c r="K400" s="41" t="s">
        <v>44</v>
      </c>
      <c r="L400" s="164" t="s">
        <v>1638</v>
      </c>
      <c r="M400" s="87">
        <v>32782</v>
      </c>
      <c r="N400" s="198" t="s">
        <v>451</v>
      </c>
      <c r="O400" s="30" t="s">
        <v>641</v>
      </c>
      <c r="P400" s="26" t="s">
        <v>37</v>
      </c>
      <c r="Q400" s="253" t="s">
        <v>1639</v>
      </c>
      <c r="R400" s="243"/>
      <c r="S400" s="253" t="s">
        <v>1640</v>
      </c>
      <c r="T400" s="132" t="s">
        <v>1641</v>
      </c>
    </row>
    <row r="401" spans="1:20" ht="30" customHeight="1" x14ac:dyDescent="0.25">
      <c r="A401" s="24">
        <f t="shared" si="15"/>
        <v>359</v>
      </c>
      <c r="B401" s="23" t="s">
        <v>200</v>
      </c>
      <c r="C401" s="24"/>
      <c r="D401" s="24" t="s">
        <v>185</v>
      </c>
      <c r="E401" s="30" t="s">
        <v>1553</v>
      </c>
      <c r="F401" s="30" t="s">
        <v>1600</v>
      </c>
      <c r="G401" s="33"/>
      <c r="H401" s="43" t="s">
        <v>41</v>
      </c>
      <c r="I401" s="92" t="s">
        <v>1642</v>
      </c>
      <c r="J401" s="41" t="s">
        <v>44</v>
      </c>
      <c r="K401" s="38">
        <v>69</v>
      </c>
      <c r="L401" s="39" t="s">
        <v>29</v>
      </c>
      <c r="M401" s="154"/>
      <c r="N401" s="40"/>
      <c r="O401" s="30"/>
      <c r="P401" s="153"/>
      <c r="Q401" s="172"/>
      <c r="R401" s="153"/>
      <c r="S401" s="172"/>
      <c r="T401" s="254"/>
    </row>
    <row r="402" spans="1:20" ht="30" customHeight="1" x14ac:dyDescent="0.25">
      <c r="A402" s="24">
        <f t="shared" si="15"/>
        <v>360</v>
      </c>
      <c r="B402" s="23" t="s">
        <v>200</v>
      </c>
      <c r="C402" s="24"/>
      <c r="D402" s="24"/>
      <c r="E402" s="30" t="s">
        <v>1553</v>
      </c>
      <c r="F402" s="30" t="s">
        <v>1600</v>
      </c>
      <c r="G402" s="33"/>
      <c r="H402" s="43" t="s">
        <v>41</v>
      </c>
      <c r="I402" s="91" t="s">
        <v>1643</v>
      </c>
      <c r="J402" s="41" t="s">
        <v>68</v>
      </c>
      <c r="K402" s="41" t="s">
        <v>68</v>
      </c>
      <c r="L402" s="45" t="s">
        <v>1644</v>
      </c>
      <c r="M402" s="33">
        <v>26959</v>
      </c>
      <c r="N402" s="40" t="s">
        <v>1645</v>
      </c>
      <c r="O402" s="30" t="s">
        <v>47</v>
      </c>
      <c r="P402" s="30" t="s">
        <v>48</v>
      </c>
      <c r="Q402" s="35" t="s">
        <v>1646</v>
      </c>
      <c r="R402" s="30"/>
      <c r="S402" s="35" t="s">
        <v>1647</v>
      </c>
      <c r="T402" s="47" t="s">
        <v>1648</v>
      </c>
    </row>
    <row r="403" spans="1:20" ht="30" customHeight="1" x14ac:dyDescent="0.25">
      <c r="A403" s="24">
        <f t="shared" si="15"/>
        <v>361</v>
      </c>
      <c r="B403" s="23" t="s">
        <v>200</v>
      </c>
      <c r="C403" s="24"/>
      <c r="D403" s="24" t="s">
        <v>185</v>
      </c>
      <c r="E403" s="30" t="s">
        <v>1553</v>
      </c>
      <c r="F403" s="30" t="s">
        <v>1600</v>
      </c>
      <c r="G403" s="33"/>
      <c r="H403" s="43" t="s">
        <v>41</v>
      </c>
      <c r="I403" s="92" t="s">
        <v>1649</v>
      </c>
      <c r="J403" s="41" t="s">
        <v>44</v>
      </c>
      <c r="K403" s="38">
        <v>70</v>
      </c>
      <c r="L403" s="63" t="s">
        <v>204</v>
      </c>
      <c r="M403" s="46"/>
      <c r="N403" s="48"/>
      <c r="O403" s="49"/>
      <c r="P403" s="46"/>
      <c r="Q403" s="50"/>
      <c r="R403" s="46"/>
      <c r="S403" s="50" t="e">
        <f>#N/A</f>
        <v>#N/A</v>
      </c>
      <c r="T403" s="46"/>
    </row>
    <row r="404" spans="1:20" ht="30" customHeight="1" x14ac:dyDescent="0.25">
      <c r="A404" s="24">
        <f t="shared" si="15"/>
        <v>362</v>
      </c>
      <c r="B404" s="23" t="s">
        <v>200</v>
      </c>
      <c r="C404" s="24"/>
      <c r="D404" s="24" t="s">
        <v>185</v>
      </c>
      <c r="E404" s="30" t="s">
        <v>1553</v>
      </c>
      <c r="F404" s="30" t="s">
        <v>1600</v>
      </c>
      <c r="G404" s="33"/>
      <c r="H404" s="43" t="s">
        <v>41</v>
      </c>
      <c r="I404" s="92" t="s">
        <v>1650</v>
      </c>
      <c r="J404" s="41" t="s">
        <v>44</v>
      </c>
      <c r="K404" s="38">
        <v>71</v>
      </c>
      <c r="L404" s="63" t="s">
        <v>1651</v>
      </c>
      <c r="M404" s="46"/>
      <c r="N404" s="48"/>
      <c r="O404" s="49"/>
      <c r="P404" s="46"/>
      <c r="Q404" s="50"/>
      <c r="R404" s="46"/>
      <c r="S404" s="50"/>
      <c r="T404" s="51"/>
    </row>
    <row r="405" spans="1:20" ht="30" customHeight="1" x14ac:dyDescent="0.25">
      <c r="A405" s="24">
        <f t="shared" si="15"/>
        <v>363</v>
      </c>
      <c r="B405" s="23" t="s">
        <v>200</v>
      </c>
      <c r="C405" s="24"/>
      <c r="D405" s="24" t="s">
        <v>185</v>
      </c>
      <c r="E405" s="30" t="s">
        <v>1553</v>
      </c>
      <c r="F405" s="30" t="s">
        <v>1600</v>
      </c>
      <c r="G405" s="33"/>
      <c r="H405" s="43" t="s">
        <v>41</v>
      </c>
      <c r="I405" s="92" t="s">
        <v>1652</v>
      </c>
      <c r="J405" s="41" t="s">
        <v>44</v>
      </c>
      <c r="K405" s="41" t="s">
        <v>100</v>
      </c>
      <c r="L405" s="42" t="s">
        <v>1653</v>
      </c>
      <c r="M405" s="33">
        <v>35157</v>
      </c>
      <c r="N405" s="40" t="s">
        <v>1654</v>
      </c>
      <c r="O405" s="30" t="s">
        <v>47</v>
      </c>
      <c r="P405" s="30" t="s">
        <v>37</v>
      </c>
      <c r="Q405" s="35" t="s">
        <v>1655</v>
      </c>
      <c r="R405" s="30"/>
      <c r="S405" s="35" t="s">
        <v>1656</v>
      </c>
      <c r="T405" s="53" t="s">
        <v>1657</v>
      </c>
    </row>
    <row r="406" spans="1:20" ht="30" customHeight="1" x14ac:dyDescent="0.25">
      <c r="A406" s="24">
        <f t="shared" si="15"/>
        <v>364</v>
      </c>
      <c r="B406" s="23" t="s">
        <v>93</v>
      </c>
      <c r="C406" s="24"/>
      <c r="D406" s="67" t="s">
        <v>185</v>
      </c>
      <c r="E406" s="68" t="s">
        <v>1553</v>
      </c>
      <c r="F406" s="68" t="s">
        <v>1600</v>
      </c>
      <c r="G406" s="69"/>
      <c r="H406" s="37" t="s">
        <v>27</v>
      </c>
      <c r="I406" s="92" t="s">
        <v>1658</v>
      </c>
      <c r="J406" s="41" t="s">
        <v>44</v>
      </c>
      <c r="K406" s="128" t="s">
        <v>44</v>
      </c>
      <c r="L406" s="164" t="s">
        <v>1659</v>
      </c>
      <c r="M406" s="87">
        <v>33253</v>
      </c>
      <c r="N406" s="130" t="s">
        <v>1660</v>
      </c>
      <c r="O406" s="26" t="s">
        <v>47</v>
      </c>
      <c r="P406" s="30" t="s">
        <v>48</v>
      </c>
      <c r="Q406" s="131" t="s">
        <v>1661</v>
      </c>
      <c r="R406" s="26"/>
      <c r="S406" s="131" t="s">
        <v>1662</v>
      </c>
      <c r="T406" s="132" t="s">
        <v>1663</v>
      </c>
    </row>
    <row r="407" spans="1:20" ht="30" customHeight="1" x14ac:dyDescent="0.25">
      <c r="A407" s="70" t="e">
        <f>REPT(#REF!,#REF!)</f>
        <v>#REF!</v>
      </c>
      <c r="B407" s="71"/>
      <c r="C407" s="72"/>
      <c r="D407" s="72"/>
      <c r="E407" s="250" t="s">
        <v>1553</v>
      </c>
      <c r="F407" s="74" t="e">
        <f>REPT(#REF!,#REF!)</f>
        <v>#REF!</v>
      </c>
      <c r="G407" s="75"/>
      <c r="H407" s="75"/>
      <c r="I407" s="76"/>
      <c r="J407" s="138"/>
      <c r="K407" s="138"/>
      <c r="L407" s="139"/>
      <c r="M407" s="76"/>
      <c r="N407" s="70"/>
      <c r="O407" s="140"/>
      <c r="P407" s="108"/>
      <c r="Q407" s="108"/>
      <c r="R407" s="108"/>
      <c r="S407" s="109"/>
      <c r="T407" s="104"/>
    </row>
    <row r="408" spans="1:20" ht="30" customHeight="1" x14ac:dyDescent="0.25">
      <c r="A408" s="24">
        <f>A406+1</f>
        <v>365</v>
      </c>
      <c r="B408" s="23" t="s">
        <v>200</v>
      </c>
      <c r="C408" s="24"/>
      <c r="D408" s="25"/>
      <c r="E408" s="26" t="s">
        <v>1553</v>
      </c>
      <c r="F408" s="26" t="s">
        <v>1664</v>
      </c>
      <c r="G408" s="87"/>
      <c r="H408" s="37" t="s">
        <v>27</v>
      </c>
      <c r="I408" s="88" t="s">
        <v>1665</v>
      </c>
      <c r="J408" s="41" t="s">
        <v>33</v>
      </c>
      <c r="K408" s="41" t="s">
        <v>33</v>
      </c>
      <c r="L408" s="45" t="s">
        <v>1666</v>
      </c>
      <c r="M408" s="33">
        <v>30840</v>
      </c>
      <c r="N408" s="40" t="s">
        <v>1667</v>
      </c>
      <c r="O408" s="30" t="s">
        <v>47</v>
      </c>
      <c r="P408" s="30" t="s">
        <v>48</v>
      </c>
      <c r="Q408" s="35" t="s">
        <v>1668</v>
      </c>
      <c r="R408" s="30">
        <v>3</v>
      </c>
      <c r="S408" s="35" t="s">
        <v>1669</v>
      </c>
      <c r="T408" s="53" t="s">
        <v>1670</v>
      </c>
    </row>
    <row r="409" spans="1:20" ht="30" customHeight="1" x14ac:dyDescent="0.25">
      <c r="A409" s="24">
        <f t="shared" ref="A409:A420" si="16">A408+1</f>
        <v>366</v>
      </c>
      <c r="B409" s="23" t="s">
        <v>200</v>
      </c>
      <c r="C409" s="24"/>
      <c r="D409" s="145"/>
      <c r="E409" s="30" t="s">
        <v>1553</v>
      </c>
      <c r="F409" s="30" t="s">
        <v>1664</v>
      </c>
      <c r="G409" s="33"/>
      <c r="H409" s="37" t="s">
        <v>27</v>
      </c>
      <c r="I409" s="90" t="s">
        <v>1671</v>
      </c>
      <c r="J409" s="41" t="s">
        <v>43</v>
      </c>
      <c r="K409" s="41" t="s">
        <v>43</v>
      </c>
      <c r="L409" s="45" t="s">
        <v>1672</v>
      </c>
      <c r="M409" s="33">
        <v>31407</v>
      </c>
      <c r="N409" s="40" t="s">
        <v>1673</v>
      </c>
      <c r="O409" s="30" t="s">
        <v>47</v>
      </c>
      <c r="P409" s="30" t="s">
        <v>48</v>
      </c>
      <c r="Q409" s="35" t="s">
        <v>1674</v>
      </c>
      <c r="R409" s="30">
        <v>2</v>
      </c>
      <c r="S409" s="35" t="s">
        <v>1675</v>
      </c>
      <c r="T409" s="53" t="s">
        <v>1676</v>
      </c>
    </row>
    <row r="410" spans="1:20" ht="30" customHeight="1" x14ac:dyDescent="0.25">
      <c r="A410" s="24">
        <f t="shared" si="16"/>
        <v>367</v>
      </c>
      <c r="B410" s="23" t="s">
        <v>200</v>
      </c>
      <c r="C410" s="24" t="s">
        <v>313</v>
      </c>
      <c r="D410" s="24"/>
      <c r="E410" s="30" t="s">
        <v>1553</v>
      </c>
      <c r="F410" s="30" t="s">
        <v>1664</v>
      </c>
      <c r="G410" s="33"/>
      <c r="H410" s="37" t="s">
        <v>27</v>
      </c>
      <c r="I410" s="90" t="s">
        <v>1677</v>
      </c>
      <c r="J410" s="41" t="s">
        <v>43</v>
      </c>
      <c r="K410" s="41" t="s">
        <v>68</v>
      </c>
      <c r="L410" s="45" t="s">
        <v>1678</v>
      </c>
      <c r="M410" s="33">
        <v>31775</v>
      </c>
      <c r="N410" s="40" t="s">
        <v>1679</v>
      </c>
      <c r="O410" s="30" t="s">
        <v>47</v>
      </c>
      <c r="P410" s="30" t="s">
        <v>48</v>
      </c>
      <c r="Q410" s="35" t="s">
        <v>1680</v>
      </c>
      <c r="R410" s="30">
        <v>2</v>
      </c>
      <c r="S410" s="35" t="s">
        <v>1681</v>
      </c>
      <c r="T410" s="53" t="s">
        <v>1682</v>
      </c>
    </row>
    <row r="411" spans="1:20" ht="30" customHeight="1" x14ac:dyDescent="0.25">
      <c r="A411" s="24">
        <f t="shared" si="16"/>
        <v>368</v>
      </c>
      <c r="B411" s="23" t="s">
        <v>200</v>
      </c>
      <c r="C411" s="24"/>
      <c r="D411" s="24" t="s">
        <v>185</v>
      </c>
      <c r="E411" s="30" t="s">
        <v>1553</v>
      </c>
      <c r="F411" s="30" t="s">
        <v>1664</v>
      </c>
      <c r="G411" s="33"/>
      <c r="H411" s="37" t="s">
        <v>27</v>
      </c>
      <c r="I411" s="44" t="s">
        <v>1683</v>
      </c>
      <c r="J411" s="41" t="s">
        <v>44</v>
      </c>
      <c r="K411" s="41" t="s">
        <v>68</v>
      </c>
      <c r="L411" s="45" t="s">
        <v>1684</v>
      </c>
      <c r="M411" s="33">
        <v>29972</v>
      </c>
      <c r="N411" s="40" t="s">
        <v>1685</v>
      </c>
      <c r="O411" s="30" t="s">
        <v>47</v>
      </c>
      <c r="P411" s="30" t="s">
        <v>48</v>
      </c>
      <c r="Q411" s="35" t="s">
        <v>1686</v>
      </c>
      <c r="R411" s="30">
        <v>2</v>
      </c>
      <c r="S411" s="35" t="s">
        <v>218</v>
      </c>
      <c r="T411" s="47" t="s">
        <v>1687</v>
      </c>
    </row>
    <row r="412" spans="1:20" ht="30" customHeight="1" x14ac:dyDescent="0.25">
      <c r="A412" s="24">
        <f t="shared" si="16"/>
        <v>369</v>
      </c>
      <c r="B412" s="23" t="s">
        <v>200</v>
      </c>
      <c r="C412" s="24"/>
      <c r="D412" s="24"/>
      <c r="E412" s="30" t="s">
        <v>1553</v>
      </c>
      <c r="F412" s="30" t="s">
        <v>1664</v>
      </c>
      <c r="G412" s="33"/>
      <c r="H412" s="43" t="s">
        <v>41</v>
      </c>
      <c r="I412" s="91" t="s">
        <v>1688</v>
      </c>
      <c r="J412" s="41" t="s">
        <v>68</v>
      </c>
      <c r="K412" s="41" t="s">
        <v>68</v>
      </c>
      <c r="L412" s="45" t="s">
        <v>1689</v>
      </c>
      <c r="M412" s="33">
        <v>33188</v>
      </c>
      <c r="N412" s="40" t="s">
        <v>1690</v>
      </c>
      <c r="O412" s="30" t="s">
        <v>47</v>
      </c>
      <c r="P412" s="30" t="s">
        <v>48</v>
      </c>
      <c r="Q412" s="35" t="s">
        <v>1691</v>
      </c>
      <c r="R412" s="30">
        <v>2</v>
      </c>
      <c r="S412" s="35" t="s">
        <v>1692</v>
      </c>
      <c r="T412" s="53" t="s">
        <v>1693</v>
      </c>
    </row>
    <row r="413" spans="1:20" ht="30" customHeight="1" x14ac:dyDescent="0.25">
      <c r="A413" s="24">
        <f t="shared" si="16"/>
        <v>370</v>
      </c>
      <c r="B413" s="23" t="s">
        <v>200</v>
      </c>
      <c r="C413" s="24"/>
      <c r="D413" s="24" t="s">
        <v>185</v>
      </c>
      <c r="E413" s="30" t="s">
        <v>1553</v>
      </c>
      <c r="F413" s="30" t="s">
        <v>1664</v>
      </c>
      <c r="G413" s="33"/>
      <c r="H413" s="43" t="s">
        <v>41</v>
      </c>
      <c r="I413" s="92" t="s">
        <v>1694</v>
      </c>
      <c r="J413" s="41" t="s">
        <v>44</v>
      </c>
      <c r="K413" s="117" t="s">
        <v>68</v>
      </c>
      <c r="L413" s="143" t="s">
        <v>1695</v>
      </c>
      <c r="M413" s="33">
        <v>30730</v>
      </c>
      <c r="N413" s="40" t="s">
        <v>1696</v>
      </c>
      <c r="O413" s="30" t="s">
        <v>47</v>
      </c>
      <c r="P413" s="30" t="s">
        <v>48</v>
      </c>
      <c r="Q413" s="35" t="s">
        <v>1697</v>
      </c>
      <c r="R413" s="30">
        <v>1</v>
      </c>
      <c r="S413" s="35" t="s">
        <v>84</v>
      </c>
      <c r="T413" s="53" t="s">
        <v>1698</v>
      </c>
    </row>
    <row r="414" spans="1:20" ht="30" customHeight="1" x14ac:dyDescent="0.25">
      <c r="A414" s="24">
        <f t="shared" si="16"/>
        <v>371</v>
      </c>
      <c r="B414" s="23" t="s">
        <v>200</v>
      </c>
      <c r="C414" s="24"/>
      <c r="D414" s="24" t="s">
        <v>185</v>
      </c>
      <c r="E414" s="30" t="s">
        <v>1553</v>
      </c>
      <c r="F414" s="30" t="s">
        <v>1664</v>
      </c>
      <c r="G414" s="33"/>
      <c r="H414" s="43" t="s">
        <v>41</v>
      </c>
      <c r="I414" s="92" t="s">
        <v>1699</v>
      </c>
      <c r="J414" s="41" t="s">
        <v>44</v>
      </c>
      <c r="K414" s="38">
        <v>72</v>
      </c>
      <c r="L414" s="39" t="s">
        <v>29</v>
      </c>
      <c r="M414" s="46"/>
      <c r="N414" s="48"/>
      <c r="O414" s="49"/>
      <c r="P414" s="46"/>
      <c r="Q414" s="50"/>
      <c r="R414" s="46"/>
      <c r="S414" s="50"/>
      <c r="T414" s="46"/>
    </row>
    <row r="415" spans="1:20" ht="30" customHeight="1" x14ac:dyDescent="0.25">
      <c r="A415" s="24">
        <f t="shared" si="16"/>
        <v>372</v>
      </c>
      <c r="B415" s="23" t="s">
        <v>200</v>
      </c>
      <c r="C415" s="24"/>
      <c r="D415" s="24" t="s">
        <v>185</v>
      </c>
      <c r="E415" s="30" t="s">
        <v>1553</v>
      </c>
      <c r="F415" s="30" t="s">
        <v>1664</v>
      </c>
      <c r="G415" s="33"/>
      <c r="H415" s="43" t="s">
        <v>41</v>
      </c>
      <c r="I415" s="92" t="s">
        <v>1700</v>
      </c>
      <c r="J415" s="41" t="s">
        <v>44</v>
      </c>
      <c r="K415" s="128" t="s">
        <v>44</v>
      </c>
      <c r="L415" s="148" t="s">
        <v>1701</v>
      </c>
      <c r="M415" s="33">
        <v>34949</v>
      </c>
      <c r="N415" s="40" t="s">
        <v>1702</v>
      </c>
      <c r="O415" s="30" t="s">
        <v>1398</v>
      </c>
      <c r="P415" s="30" t="s">
        <v>37</v>
      </c>
      <c r="Q415" s="35" t="s">
        <v>1703</v>
      </c>
      <c r="R415" s="30"/>
      <c r="S415" s="35" t="s">
        <v>1704</v>
      </c>
      <c r="T415" s="53" t="s">
        <v>1705</v>
      </c>
    </row>
    <row r="416" spans="1:20" ht="30" customHeight="1" x14ac:dyDescent="0.25">
      <c r="A416" s="24">
        <f t="shared" si="16"/>
        <v>373</v>
      </c>
      <c r="B416" s="23" t="s">
        <v>200</v>
      </c>
      <c r="C416" s="24"/>
      <c r="D416" s="24"/>
      <c r="E416" s="30" t="s">
        <v>1553</v>
      </c>
      <c r="F416" s="30" t="s">
        <v>1664</v>
      </c>
      <c r="G416" s="33"/>
      <c r="H416" s="43" t="s">
        <v>41</v>
      </c>
      <c r="I416" s="91" t="s">
        <v>1706</v>
      </c>
      <c r="J416" s="41" t="s">
        <v>68</v>
      </c>
      <c r="K416" s="41" t="s">
        <v>68</v>
      </c>
      <c r="L416" s="45" t="s">
        <v>1707</v>
      </c>
      <c r="M416" s="33">
        <v>32886</v>
      </c>
      <c r="N416" s="40" t="s">
        <v>1708</v>
      </c>
      <c r="O416" s="30" t="s">
        <v>47</v>
      </c>
      <c r="P416" s="30" t="s">
        <v>48</v>
      </c>
      <c r="Q416" s="35" t="s">
        <v>1709</v>
      </c>
      <c r="R416" s="30">
        <v>2</v>
      </c>
      <c r="S416" s="35" t="s">
        <v>1710</v>
      </c>
      <c r="T416" s="47" t="s">
        <v>1711</v>
      </c>
    </row>
    <row r="417" spans="1:20" ht="30" customHeight="1" x14ac:dyDescent="0.25">
      <c r="A417" s="24">
        <f t="shared" si="16"/>
        <v>374</v>
      </c>
      <c r="B417" s="23" t="s">
        <v>200</v>
      </c>
      <c r="C417" s="24"/>
      <c r="D417" s="24" t="s">
        <v>185</v>
      </c>
      <c r="E417" s="30" t="s">
        <v>1553</v>
      </c>
      <c r="F417" s="30" t="s">
        <v>1664</v>
      </c>
      <c r="G417" s="33"/>
      <c r="H417" s="43" t="s">
        <v>41</v>
      </c>
      <c r="I417" s="92" t="s">
        <v>1712</v>
      </c>
      <c r="J417" s="41" t="s">
        <v>44</v>
      </c>
      <c r="K417" s="128" t="s">
        <v>44</v>
      </c>
      <c r="L417" s="148" t="s">
        <v>1713</v>
      </c>
      <c r="M417" s="33">
        <v>35164</v>
      </c>
      <c r="N417" s="40" t="s">
        <v>1714</v>
      </c>
      <c r="O417" s="30" t="s">
        <v>47</v>
      </c>
      <c r="P417" s="30" t="s">
        <v>37</v>
      </c>
      <c r="Q417" s="35" t="s">
        <v>1715</v>
      </c>
      <c r="R417" s="30"/>
      <c r="S417" s="35" t="s">
        <v>1716</v>
      </c>
      <c r="T417" s="53" t="s">
        <v>1717</v>
      </c>
    </row>
    <row r="418" spans="1:20" ht="30" customHeight="1" x14ac:dyDescent="0.25">
      <c r="A418" s="24">
        <f t="shared" si="16"/>
        <v>375</v>
      </c>
      <c r="B418" s="23" t="s">
        <v>200</v>
      </c>
      <c r="C418" s="24"/>
      <c r="D418" s="24" t="s">
        <v>185</v>
      </c>
      <c r="E418" s="30" t="s">
        <v>1553</v>
      </c>
      <c r="F418" s="30" t="s">
        <v>1664</v>
      </c>
      <c r="G418" s="33"/>
      <c r="H418" s="43" t="s">
        <v>41</v>
      </c>
      <c r="I418" s="92" t="s">
        <v>1718</v>
      </c>
      <c r="J418" s="41" t="s">
        <v>44</v>
      </c>
      <c r="K418" s="41" t="s">
        <v>100</v>
      </c>
      <c r="L418" s="255" t="s">
        <v>1719</v>
      </c>
      <c r="M418" s="33">
        <v>35515</v>
      </c>
      <c r="N418" s="40" t="s">
        <v>1720</v>
      </c>
      <c r="O418" s="30" t="s">
        <v>47</v>
      </c>
      <c r="P418" s="30" t="s">
        <v>37</v>
      </c>
      <c r="Q418" s="35" t="s">
        <v>1721</v>
      </c>
      <c r="R418" s="30"/>
      <c r="S418" s="35" t="s">
        <v>1722</v>
      </c>
      <c r="T418" s="47" t="s">
        <v>1723</v>
      </c>
    </row>
    <row r="419" spans="1:20" ht="30" customHeight="1" x14ac:dyDescent="0.25">
      <c r="A419" s="24">
        <f t="shared" si="16"/>
        <v>376</v>
      </c>
      <c r="B419" s="23" t="s">
        <v>200</v>
      </c>
      <c r="C419" s="24"/>
      <c r="D419" s="24" t="s">
        <v>185</v>
      </c>
      <c r="E419" s="30" t="s">
        <v>1553</v>
      </c>
      <c r="F419" s="30" t="s">
        <v>1664</v>
      </c>
      <c r="G419" s="33"/>
      <c r="H419" s="43" t="s">
        <v>41</v>
      </c>
      <c r="I419" s="102" t="s">
        <v>1724</v>
      </c>
      <c r="J419" s="117" t="s">
        <v>44</v>
      </c>
      <c r="K419" s="256" t="s">
        <v>44</v>
      </c>
      <c r="L419" s="45" t="s">
        <v>1725</v>
      </c>
      <c r="M419" s="33">
        <v>31897</v>
      </c>
      <c r="N419" s="40" t="s">
        <v>451</v>
      </c>
      <c r="O419" s="30" t="s">
        <v>47</v>
      </c>
      <c r="P419" s="30" t="s">
        <v>48</v>
      </c>
      <c r="Q419" s="35" t="s">
        <v>1726</v>
      </c>
      <c r="R419" s="30">
        <v>2</v>
      </c>
      <c r="S419" s="35" t="s">
        <v>1727</v>
      </c>
      <c r="T419" s="53" t="s">
        <v>1728</v>
      </c>
    </row>
    <row r="420" spans="1:20" ht="30" customHeight="1" x14ac:dyDescent="0.25">
      <c r="A420" s="24">
        <f t="shared" si="16"/>
        <v>377</v>
      </c>
      <c r="B420" s="23" t="s">
        <v>93</v>
      </c>
      <c r="C420" s="24"/>
      <c r="D420" s="67" t="s">
        <v>185</v>
      </c>
      <c r="E420" s="68" t="s">
        <v>1553</v>
      </c>
      <c r="F420" s="68" t="s">
        <v>1664</v>
      </c>
      <c r="G420" s="33"/>
      <c r="H420" s="37" t="s">
        <v>27</v>
      </c>
      <c r="I420" s="92" t="s">
        <v>1729</v>
      </c>
      <c r="J420" s="128" t="s">
        <v>44</v>
      </c>
      <c r="K420" s="128" t="s">
        <v>44</v>
      </c>
      <c r="L420" s="209" t="s">
        <v>1730</v>
      </c>
      <c r="M420" s="55">
        <v>30040</v>
      </c>
      <c r="N420" s="40" t="s">
        <v>1731</v>
      </c>
      <c r="O420" s="30" t="s">
        <v>47</v>
      </c>
      <c r="P420" s="30" t="s">
        <v>48</v>
      </c>
      <c r="Q420" s="35" t="s">
        <v>1732</v>
      </c>
      <c r="R420" s="30">
        <v>1</v>
      </c>
      <c r="S420" s="35" t="s">
        <v>1733</v>
      </c>
      <c r="T420" s="36"/>
    </row>
    <row r="421" spans="1:20" ht="30" customHeight="1" x14ac:dyDescent="0.25">
      <c r="A421" s="70" t="e">
        <f>REPT(#REF!,#REF!)</f>
        <v>#REF!</v>
      </c>
      <c r="B421" s="71"/>
      <c r="C421" s="72"/>
      <c r="D421" s="72"/>
      <c r="E421" s="250" t="s">
        <v>1553</v>
      </c>
      <c r="F421" s="192" t="e">
        <f>REPT(#REF!,#REF!)</f>
        <v>#REF!</v>
      </c>
      <c r="G421" s="251"/>
      <c r="H421" s="184"/>
      <c r="I421" s="183"/>
      <c r="J421" s="77"/>
      <c r="K421" s="77"/>
      <c r="L421" s="182"/>
      <c r="M421" s="183"/>
      <c r="N421" s="178"/>
      <c r="O421" s="184"/>
      <c r="P421" s="185"/>
      <c r="Q421" s="185"/>
      <c r="R421" s="185"/>
      <c r="S421" s="186"/>
      <c r="T421" s="187"/>
    </row>
    <row r="422" spans="1:20" ht="30" customHeight="1" x14ac:dyDescent="0.25">
      <c r="A422" s="24">
        <f>A420+1</f>
        <v>378</v>
      </c>
      <c r="B422" s="23" t="s">
        <v>200</v>
      </c>
      <c r="C422" s="24"/>
      <c r="D422" s="25"/>
      <c r="E422" s="26" t="s">
        <v>1553</v>
      </c>
      <c r="F422" s="26" t="s">
        <v>1734</v>
      </c>
      <c r="G422" s="33"/>
      <c r="H422" s="37" t="s">
        <v>27</v>
      </c>
      <c r="I422" s="91" t="s">
        <v>1735</v>
      </c>
      <c r="J422" s="41" t="s">
        <v>68</v>
      </c>
      <c r="K422" s="117" t="s">
        <v>68</v>
      </c>
      <c r="L422" s="257" t="s">
        <v>1736</v>
      </c>
      <c r="M422" s="33">
        <v>31184</v>
      </c>
      <c r="N422" s="40" t="s">
        <v>1737</v>
      </c>
      <c r="O422" s="30" t="s">
        <v>47</v>
      </c>
      <c r="P422" s="30" t="s">
        <v>48</v>
      </c>
      <c r="Q422" s="35" t="s">
        <v>1738</v>
      </c>
      <c r="R422" s="30">
        <v>2</v>
      </c>
      <c r="S422" s="35" t="s">
        <v>1739</v>
      </c>
      <c r="T422" s="53" t="s">
        <v>1740</v>
      </c>
    </row>
    <row r="423" spans="1:20" ht="30" customHeight="1" x14ac:dyDescent="0.25">
      <c r="A423" s="24">
        <f t="shared" ref="A423:A428" si="17">A422+1</f>
        <v>379</v>
      </c>
      <c r="B423" s="23" t="s">
        <v>200</v>
      </c>
      <c r="C423" s="24"/>
      <c r="D423" s="24" t="s">
        <v>185</v>
      </c>
      <c r="E423" s="30" t="s">
        <v>1553</v>
      </c>
      <c r="F423" s="30" t="s">
        <v>1734</v>
      </c>
      <c r="G423" s="33"/>
      <c r="H423" s="37" t="s">
        <v>27</v>
      </c>
      <c r="I423" s="92" t="s">
        <v>1741</v>
      </c>
      <c r="J423" s="41" t="s">
        <v>44</v>
      </c>
      <c r="K423" s="38">
        <v>74</v>
      </c>
      <c r="L423" s="63" t="s">
        <v>204</v>
      </c>
      <c r="M423" s="46"/>
      <c r="N423" s="48"/>
      <c r="O423" s="49"/>
      <c r="P423" s="46"/>
      <c r="Q423" s="50"/>
      <c r="R423" s="46"/>
      <c r="S423" s="50" t="e">
        <f>#N/A</f>
        <v>#N/A</v>
      </c>
      <c r="T423" s="46"/>
    </row>
    <row r="424" spans="1:20" ht="30" customHeight="1" x14ac:dyDescent="0.25">
      <c r="A424" s="24">
        <f t="shared" si="17"/>
        <v>380</v>
      </c>
      <c r="B424" s="23" t="s">
        <v>200</v>
      </c>
      <c r="C424" s="24"/>
      <c r="D424" s="24" t="s">
        <v>185</v>
      </c>
      <c r="E424" s="30" t="s">
        <v>1553</v>
      </c>
      <c r="F424" s="30" t="s">
        <v>1734</v>
      </c>
      <c r="G424" s="33"/>
      <c r="H424" s="258" t="s">
        <v>41</v>
      </c>
      <c r="I424" s="92" t="s">
        <v>1742</v>
      </c>
      <c r="J424" s="41" t="s">
        <v>44</v>
      </c>
      <c r="K424" s="41" t="s">
        <v>100</v>
      </c>
      <c r="L424" s="142" t="s">
        <v>1743</v>
      </c>
      <c r="M424" s="33">
        <v>35896</v>
      </c>
      <c r="N424" s="40" t="s">
        <v>1744</v>
      </c>
      <c r="O424" s="30" t="s">
        <v>47</v>
      </c>
      <c r="P424" s="24" t="s">
        <v>37</v>
      </c>
      <c r="Q424" s="35" t="s">
        <v>1745</v>
      </c>
      <c r="R424" s="30"/>
      <c r="S424" s="35" t="s">
        <v>1746</v>
      </c>
      <c r="T424" s="47" t="s">
        <v>1747</v>
      </c>
    </row>
    <row r="425" spans="1:20" ht="30" customHeight="1" x14ac:dyDescent="0.25">
      <c r="A425" s="24">
        <f t="shared" si="17"/>
        <v>381</v>
      </c>
      <c r="B425" s="23" t="s">
        <v>200</v>
      </c>
      <c r="C425" s="24"/>
      <c r="D425" s="24" t="s">
        <v>185</v>
      </c>
      <c r="E425" s="30" t="s">
        <v>1553</v>
      </c>
      <c r="F425" s="30" t="s">
        <v>1734</v>
      </c>
      <c r="G425" s="33"/>
      <c r="H425" s="259"/>
      <c r="I425" s="92" t="s">
        <v>1748</v>
      </c>
      <c r="J425" s="41" t="s">
        <v>44</v>
      </c>
      <c r="K425" s="38">
        <v>75</v>
      </c>
      <c r="L425" s="141" t="s">
        <v>29</v>
      </c>
      <c r="M425" s="46"/>
      <c r="N425" s="48"/>
      <c r="O425" s="49"/>
      <c r="P425" s="46"/>
      <c r="Q425" s="50"/>
      <c r="R425" s="46"/>
      <c r="S425" s="50"/>
      <c r="T425" s="46"/>
    </row>
    <row r="426" spans="1:20" ht="30" customHeight="1" x14ac:dyDescent="0.25">
      <c r="A426" s="24">
        <f t="shared" si="17"/>
        <v>382</v>
      </c>
      <c r="B426" s="23" t="s">
        <v>200</v>
      </c>
      <c r="C426" s="24"/>
      <c r="D426" s="24" t="s">
        <v>185</v>
      </c>
      <c r="E426" s="30" t="s">
        <v>1553</v>
      </c>
      <c r="F426" s="30" t="s">
        <v>1734</v>
      </c>
      <c r="G426" s="33"/>
      <c r="H426" s="43" t="s">
        <v>41</v>
      </c>
      <c r="I426" s="92" t="s">
        <v>1749</v>
      </c>
      <c r="J426" s="41" t="s">
        <v>44</v>
      </c>
      <c r="K426" s="41" t="s">
        <v>44</v>
      </c>
      <c r="L426" s="89" t="s">
        <v>1750</v>
      </c>
      <c r="M426" s="33">
        <v>30945</v>
      </c>
      <c r="N426" s="40" t="s">
        <v>451</v>
      </c>
      <c r="O426" s="30" t="s">
        <v>47</v>
      </c>
      <c r="P426" s="30" t="s">
        <v>37</v>
      </c>
      <c r="Q426" s="35" t="s">
        <v>1751</v>
      </c>
      <c r="R426" s="30"/>
      <c r="S426" s="35" t="s">
        <v>1752</v>
      </c>
      <c r="T426" s="53" t="s">
        <v>1753</v>
      </c>
    </row>
    <row r="427" spans="1:20" ht="30" customHeight="1" x14ac:dyDescent="0.25">
      <c r="A427" s="24">
        <f t="shared" si="17"/>
        <v>383</v>
      </c>
      <c r="B427" s="23"/>
      <c r="C427" s="24"/>
      <c r="D427" s="24"/>
      <c r="E427" s="30" t="s">
        <v>1553</v>
      </c>
      <c r="F427" s="30" t="s">
        <v>1734</v>
      </c>
      <c r="G427" s="33"/>
      <c r="H427" s="43"/>
      <c r="I427" s="92" t="s">
        <v>1749</v>
      </c>
      <c r="J427" s="41"/>
      <c r="K427" s="41"/>
      <c r="L427" s="63" t="s">
        <v>1754</v>
      </c>
      <c r="M427" s="33"/>
      <c r="N427" s="40"/>
      <c r="O427" s="30"/>
      <c r="P427" s="30"/>
      <c r="Q427" s="35"/>
      <c r="R427" s="30"/>
      <c r="S427" s="35"/>
      <c r="T427" s="53"/>
    </row>
    <row r="428" spans="1:20" ht="30" customHeight="1" x14ac:dyDescent="0.25">
      <c r="A428" s="24">
        <f t="shared" si="17"/>
        <v>384</v>
      </c>
      <c r="B428" s="23" t="s">
        <v>200</v>
      </c>
      <c r="C428" s="24"/>
      <c r="D428" s="67" t="s">
        <v>185</v>
      </c>
      <c r="E428" s="68" t="s">
        <v>1553</v>
      </c>
      <c r="F428" s="68" t="s">
        <v>1734</v>
      </c>
      <c r="G428" s="33"/>
      <c r="H428" s="43" t="s">
        <v>41</v>
      </c>
      <c r="I428" s="92" t="s">
        <v>1755</v>
      </c>
      <c r="J428" s="41" t="s">
        <v>44</v>
      </c>
      <c r="K428" s="38">
        <v>76</v>
      </c>
      <c r="L428" s="141" t="s">
        <v>29</v>
      </c>
      <c r="M428" s="33"/>
      <c r="N428" s="40"/>
      <c r="O428" s="30"/>
      <c r="P428" s="30"/>
      <c r="Q428" s="35"/>
      <c r="R428" s="30"/>
      <c r="S428" s="35"/>
      <c r="T428" s="36"/>
    </row>
    <row r="429" spans="1:20" ht="30" customHeight="1" x14ac:dyDescent="0.25">
      <c r="A429" s="70" t="e">
        <f>REPT(#REF!,#REF!)</f>
        <v>#REF!</v>
      </c>
      <c r="B429" s="71"/>
      <c r="C429" s="72"/>
      <c r="D429" s="72"/>
      <c r="E429" s="250" t="s">
        <v>1553</v>
      </c>
      <c r="F429" s="192" t="e">
        <f>REPT(#REF!,#REF!)</f>
        <v>#REF!</v>
      </c>
      <c r="G429" s="251"/>
      <c r="H429" s="184"/>
      <c r="I429" s="183"/>
      <c r="J429" s="77"/>
      <c r="K429" s="77"/>
      <c r="L429" s="182"/>
      <c r="M429" s="183"/>
      <c r="N429" s="178"/>
      <c r="O429" s="184"/>
      <c r="P429" s="185"/>
      <c r="Q429" s="185"/>
      <c r="R429" s="185"/>
      <c r="S429" s="186"/>
      <c r="T429" s="187"/>
    </row>
    <row r="430" spans="1:20" ht="30" customHeight="1" x14ac:dyDescent="0.25">
      <c r="A430" s="24">
        <f>A428+1</f>
        <v>385</v>
      </c>
      <c r="B430" s="23"/>
      <c r="C430" s="24"/>
      <c r="D430" s="25"/>
      <c r="E430" s="26" t="s">
        <v>1553</v>
      </c>
      <c r="F430" s="26" t="s">
        <v>1756</v>
      </c>
      <c r="G430" s="33"/>
      <c r="H430" s="37"/>
      <c r="I430" s="91" t="s">
        <v>1757</v>
      </c>
      <c r="J430" s="41" t="s">
        <v>68</v>
      </c>
      <c r="K430" s="128" t="s">
        <v>44</v>
      </c>
      <c r="L430" s="209" t="s">
        <v>1730</v>
      </c>
      <c r="M430" s="260">
        <v>30040</v>
      </c>
      <c r="N430" s="130" t="s">
        <v>1731</v>
      </c>
      <c r="O430" s="26" t="s">
        <v>47</v>
      </c>
      <c r="P430" s="26" t="s">
        <v>48</v>
      </c>
      <c r="Q430" s="131" t="s">
        <v>1732</v>
      </c>
      <c r="R430" s="26">
        <v>1</v>
      </c>
      <c r="S430" s="131" t="s">
        <v>1733</v>
      </c>
      <c r="T430" s="189"/>
    </row>
    <row r="431" spans="1:20" ht="30" customHeight="1" x14ac:dyDescent="0.25">
      <c r="A431" s="24">
        <f>A430+1</f>
        <v>386</v>
      </c>
      <c r="B431" s="23"/>
      <c r="C431" s="24"/>
      <c r="D431" s="24"/>
      <c r="E431" s="30" t="s">
        <v>1553</v>
      </c>
      <c r="F431" s="30" t="s">
        <v>1756</v>
      </c>
      <c r="G431" s="33"/>
      <c r="H431" s="37"/>
      <c r="I431" s="92" t="s">
        <v>1758</v>
      </c>
      <c r="J431" s="41" t="s">
        <v>44</v>
      </c>
      <c r="K431" s="38">
        <v>77</v>
      </c>
      <c r="L431" s="230" t="s">
        <v>29</v>
      </c>
      <c r="M431" s="260"/>
      <c r="N431" s="130"/>
      <c r="O431" s="26"/>
      <c r="P431" s="261"/>
      <c r="Q431" s="262"/>
      <c r="R431" s="261"/>
      <c r="S431" s="262"/>
      <c r="T431" s="263"/>
    </row>
    <row r="432" spans="1:20" ht="30" customHeight="1" x14ac:dyDescent="0.25">
      <c r="A432" s="24">
        <f>A431+1</f>
        <v>387</v>
      </c>
      <c r="B432" s="23"/>
      <c r="C432" s="24"/>
      <c r="D432" s="67"/>
      <c r="E432" s="68" t="s">
        <v>1553</v>
      </c>
      <c r="F432" s="68" t="s">
        <v>1756</v>
      </c>
      <c r="G432" s="69"/>
      <c r="H432" s="37"/>
      <c r="I432" s="92" t="s">
        <v>1759</v>
      </c>
      <c r="J432" s="41" t="s">
        <v>44</v>
      </c>
      <c r="K432" s="38">
        <v>78</v>
      </c>
      <c r="L432" s="63" t="s">
        <v>1760</v>
      </c>
      <c r="M432" s="260"/>
      <c r="N432" s="130"/>
      <c r="O432" s="26"/>
      <c r="P432" s="261"/>
      <c r="Q432" s="262"/>
      <c r="R432" s="261"/>
      <c r="S432" s="262"/>
      <c r="T432" s="263"/>
    </row>
    <row r="433" spans="1:20" ht="30" customHeight="1" x14ac:dyDescent="0.25">
      <c r="A433" s="70" t="e">
        <f>REPT(#REF!,#REF!)</f>
        <v>#REF!</v>
      </c>
      <c r="B433" s="71"/>
      <c r="C433" s="72"/>
      <c r="D433" s="72"/>
      <c r="E433" s="250" t="s">
        <v>1553</v>
      </c>
      <c r="F433" s="74" t="e">
        <f>REPT(#REF!,#REF!)</f>
        <v>#REF!</v>
      </c>
      <c r="G433" s="75"/>
      <c r="H433" s="75"/>
      <c r="I433" s="76"/>
      <c r="J433" s="138"/>
      <c r="K433" s="138"/>
      <c r="L433" s="139"/>
      <c r="M433" s="76"/>
      <c r="N433" s="70"/>
      <c r="O433" s="140"/>
      <c r="P433" s="108"/>
      <c r="Q433" s="108"/>
      <c r="R433" s="108"/>
      <c r="S433" s="109"/>
      <c r="T433" s="104"/>
    </row>
    <row r="434" spans="1:20" ht="30" customHeight="1" x14ac:dyDescent="0.25">
      <c r="A434" s="24">
        <f>A432+1</f>
        <v>388</v>
      </c>
      <c r="B434" s="23"/>
      <c r="C434" s="24"/>
      <c r="D434" s="25"/>
      <c r="E434" s="26" t="s">
        <v>1553</v>
      </c>
      <c r="F434" s="236" t="s">
        <v>1472</v>
      </c>
      <c r="G434" s="87"/>
      <c r="H434" s="43"/>
      <c r="I434" s="91" t="s">
        <v>1473</v>
      </c>
      <c r="J434" s="41" t="s">
        <v>68</v>
      </c>
      <c r="K434" s="38">
        <v>79</v>
      </c>
      <c r="L434" s="230" t="s">
        <v>29</v>
      </c>
      <c r="M434" s="33"/>
      <c r="N434" s="40"/>
      <c r="O434" s="30"/>
      <c r="P434" s="30"/>
      <c r="Q434" s="35"/>
      <c r="R434" s="30"/>
      <c r="S434" s="35"/>
      <c r="T434" s="36"/>
    </row>
    <row r="435" spans="1:20" ht="30" customHeight="1" x14ac:dyDescent="0.25">
      <c r="A435" s="24">
        <f>A434+1</f>
        <v>389</v>
      </c>
      <c r="B435" s="23"/>
      <c r="C435" s="24"/>
      <c r="D435" s="67"/>
      <c r="E435" s="68" t="s">
        <v>1553</v>
      </c>
      <c r="F435" s="237" t="s">
        <v>1472</v>
      </c>
      <c r="G435" s="69"/>
      <c r="H435" s="43"/>
      <c r="I435" s="96" t="s">
        <v>1761</v>
      </c>
      <c r="J435" s="41" t="s">
        <v>44</v>
      </c>
      <c r="K435" s="38">
        <v>80</v>
      </c>
      <c r="L435" s="230" t="s">
        <v>29</v>
      </c>
      <c r="M435" s="46"/>
      <c r="N435" s="48"/>
      <c r="O435" s="49"/>
      <c r="P435" s="46"/>
      <c r="Q435" s="50"/>
      <c r="R435" s="46"/>
      <c r="S435" s="50"/>
      <c r="T435" s="46"/>
    </row>
    <row r="436" spans="1:20" ht="30" customHeight="1" x14ac:dyDescent="0.25">
      <c r="A436" s="70" t="e">
        <f>REPT(#REF!,#REF!)</f>
        <v>#REF!</v>
      </c>
      <c r="B436" s="71"/>
      <c r="C436" s="72"/>
      <c r="D436" s="72"/>
      <c r="E436" s="250" t="s">
        <v>1553</v>
      </c>
      <c r="F436" s="74" t="e">
        <f>REPT(#REF!,#REF!)</f>
        <v>#REF!</v>
      </c>
      <c r="G436" s="75"/>
      <c r="H436" s="75"/>
      <c r="I436" s="76"/>
      <c r="J436" s="138"/>
      <c r="K436" s="138"/>
      <c r="L436" s="139"/>
      <c r="M436" s="183"/>
      <c r="N436" s="178"/>
      <c r="O436" s="184"/>
      <c r="P436" s="185"/>
      <c r="Q436" s="185"/>
      <c r="R436" s="185"/>
      <c r="S436" s="186"/>
      <c r="T436" s="187"/>
    </row>
    <row r="437" spans="1:20" ht="30" customHeight="1" x14ac:dyDescent="0.25">
      <c r="A437" s="24">
        <f>A435+1</f>
        <v>390</v>
      </c>
      <c r="B437" s="23"/>
      <c r="C437" s="24"/>
      <c r="D437" s="25"/>
      <c r="E437" s="26" t="s">
        <v>1553</v>
      </c>
      <c r="F437" s="26" t="s">
        <v>1762</v>
      </c>
      <c r="G437" s="87"/>
      <c r="H437" s="37"/>
      <c r="I437" s="92" t="s">
        <v>1763</v>
      </c>
      <c r="J437" s="41" t="s">
        <v>924</v>
      </c>
      <c r="K437" s="38">
        <v>81</v>
      </c>
      <c r="L437" s="230" t="s">
        <v>29</v>
      </c>
      <c r="M437" s="260"/>
      <c r="N437" s="130"/>
      <c r="O437" s="26"/>
      <c r="P437" s="261"/>
      <c r="Q437" s="262"/>
      <c r="R437" s="261"/>
      <c r="S437" s="262"/>
      <c r="T437" s="263"/>
    </row>
    <row r="438" spans="1:20" ht="30" customHeight="1" x14ac:dyDescent="0.25">
      <c r="A438" s="24">
        <f>A437+1</f>
        <v>391</v>
      </c>
      <c r="B438" s="23"/>
      <c r="C438" s="24"/>
      <c r="D438" s="67"/>
      <c r="E438" s="68" t="s">
        <v>1553</v>
      </c>
      <c r="F438" s="68" t="s">
        <v>1762</v>
      </c>
      <c r="G438" s="33"/>
      <c r="H438" s="37"/>
      <c r="I438" s="92" t="s">
        <v>1764</v>
      </c>
      <c r="J438" s="41" t="s">
        <v>924</v>
      </c>
      <c r="K438" s="38">
        <v>82</v>
      </c>
      <c r="L438" s="230" t="s">
        <v>29</v>
      </c>
      <c r="M438" s="260"/>
      <c r="N438" s="130"/>
      <c r="O438" s="26"/>
      <c r="P438" s="261"/>
      <c r="Q438" s="262"/>
      <c r="R438" s="261"/>
      <c r="S438" s="262"/>
      <c r="T438" s="263"/>
    </row>
    <row r="439" spans="1:20" ht="30" customHeight="1" x14ac:dyDescent="0.25">
      <c r="A439" s="246" t="e">
        <f>REPT(#REF!,#REF!)</f>
        <v>#REF!</v>
      </c>
      <c r="B439" s="247"/>
      <c r="C439" s="247"/>
      <c r="D439" s="173"/>
      <c r="E439" s="248" t="s">
        <v>1765</v>
      </c>
      <c r="F439" s="175" t="e">
        <f>REPT(#REF!,#REF!)</f>
        <v>#REF!</v>
      </c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</row>
    <row r="440" spans="1:20" ht="30" customHeight="1" x14ac:dyDescent="0.25">
      <c r="A440" s="178" t="e">
        <f>REPT(#REF!,#REF!)</f>
        <v>#REF!</v>
      </c>
      <c r="B440" s="249"/>
      <c r="C440" s="179"/>
      <c r="D440" s="72"/>
      <c r="E440" s="250" t="s">
        <v>1765</v>
      </c>
      <c r="F440" s="192" t="e">
        <f>REPT(#REF!,#REF!)</f>
        <v>#REF!</v>
      </c>
      <c r="G440" s="251"/>
      <c r="H440" s="184"/>
      <c r="I440" s="183"/>
      <c r="J440" s="77"/>
      <c r="K440" s="77"/>
      <c r="L440" s="182"/>
      <c r="M440" s="183"/>
      <c r="N440" s="178"/>
      <c r="O440" s="187"/>
      <c r="P440" s="185"/>
      <c r="Q440" s="185"/>
      <c r="R440" s="185"/>
      <c r="S440" s="185"/>
      <c r="T440" s="187"/>
    </row>
    <row r="441" spans="1:20" ht="30" customHeight="1" x14ac:dyDescent="0.25">
      <c r="A441" s="24">
        <f>A438+1</f>
        <v>392</v>
      </c>
      <c r="B441" s="23"/>
      <c r="C441" s="24"/>
      <c r="D441" s="25"/>
      <c r="E441" s="26" t="s">
        <v>1765</v>
      </c>
      <c r="F441" s="26" t="s">
        <v>21</v>
      </c>
      <c r="G441" s="33"/>
      <c r="H441" s="37"/>
      <c r="I441" s="44" t="s">
        <v>673</v>
      </c>
      <c r="J441" s="24" t="s">
        <v>25</v>
      </c>
      <c r="K441" s="24" t="s">
        <v>33</v>
      </c>
      <c r="L441" s="65" t="s">
        <v>1766</v>
      </c>
      <c r="M441" s="55"/>
      <c r="N441" s="40"/>
      <c r="O441" s="30"/>
      <c r="P441" s="30"/>
      <c r="Q441" s="35"/>
      <c r="R441" s="30"/>
      <c r="S441" s="35"/>
      <c r="T441" s="36"/>
    </row>
    <row r="442" spans="1:20" ht="30" customHeight="1" x14ac:dyDescent="0.25">
      <c r="A442" s="24">
        <f t="shared" ref="A442:A459" si="18">A441+1</f>
        <v>393</v>
      </c>
      <c r="B442" s="23"/>
      <c r="C442" s="24"/>
      <c r="D442" s="24"/>
      <c r="E442" s="30" t="s">
        <v>1765</v>
      </c>
      <c r="F442" s="30" t="s">
        <v>21</v>
      </c>
      <c r="G442" s="33"/>
      <c r="H442" s="37"/>
      <c r="I442" s="44" t="s">
        <v>679</v>
      </c>
      <c r="J442" s="24" t="s">
        <v>33</v>
      </c>
      <c r="K442" s="31" t="s">
        <v>43</v>
      </c>
      <c r="L442" s="45" t="s">
        <v>1767</v>
      </c>
      <c r="M442" s="33">
        <v>31973</v>
      </c>
      <c r="N442" s="48"/>
      <c r="O442" s="49"/>
      <c r="P442" s="46"/>
      <c r="Q442" s="50"/>
      <c r="R442" s="46"/>
      <c r="S442" s="50"/>
      <c r="T442" s="46"/>
    </row>
    <row r="443" spans="1:20" ht="30" customHeight="1" x14ac:dyDescent="0.25">
      <c r="A443" s="24">
        <f t="shared" si="18"/>
        <v>394</v>
      </c>
      <c r="B443" s="23"/>
      <c r="C443" s="24"/>
      <c r="D443" s="24"/>
      <c r="E443" s="30" t="s">
        <v>1765</v>
      </c>
      <c r="F443" s="30" t="s">
        <v>21</v>
      </c>
      <c r="G443" s="33"/>
      <c r="H443" s="37"/>
      <c r="I443" s="44" t="s">
        <v>681</v>
      </c>
      <c r="J443" s="41" t="s">
        <v>33</v>
      </c>
      <c r="K443" s="38">
        <v>83</v>
      </c>
      <c r="L443" s="230" t="s">
        <v>29</v>
      </c>
      <c r="M443" s="55"/>
      <c r="N443" s="40"/>
      <c r="O443" s="30"/>
      <c r="P443" s="30"/>
      <c r="Q443" s="35"/>
      <c r="R443" s="30"/>
      <c r="S443" s="35"/>
      <c r="T443" s="36"/>
    </row>
    <row r="444" spans="1:20" ht="30" customHeight="1" x14ac:dyDescent="0.25">
      <c r="A444" s="24">
        <f t="shared" si="18"/>
        <v>395</v>
      </c>
      <c r="B444" s="23"/>
      <c r="C444" s="24"/>
      <c r="D444" s="24"/>
      <c r="E444" s="30" t="s">
        <v>1765</v>
      </c>
      <c r="F444" s="30" t="s">
        <v>21</v>
      </c>
      <c r="G444" s="33"/>
      <c r="H444" s="37"/>
      <c r="I444" s="44" t="s">
        <v>1768</v>
      </c>
      <c r="J444" s="30" t="s">
        <v>68</v>
      </c>
      <c r="K444" s="38">
        <v>84</v>
      </c>
      <c r="L444" s="230" t="s">
        <v>29</v>
      </c>
      <c r="M444" s="55"/>
      <c r="N444" s="40"/>
      <c r="O444" s="30"/>
      <c r="P444" s="30"/>
      <c r="Q444" s="35"/>
      <c r="R444" s="30"/>
      <c r="S444" s="35"/>
      <c r="T444" s="36"/>
    </row>
    <row r="445" spans="1:20" ht="30" customHeight="1" x14ac:dyDescent="0.25">
      <c r="A445" s="24">
        <f t="shared" si="18"/>
        <v>396</v>
      </c>
      <c r="B445" s="23"/>
      <c r="C445" s="24"/>
      <c r="D445" s="24"/>
      <c r="E445" s="30" t="s">
        <v>1765</v>
      </c>
      <c r="F445" s="30" t="s">
        <v>21</v>
      </c>
      <c r="G445" s="33"/>
      <c r="H445" s="37"/>
      <c r="I445" s="44" t="s">
        <v>687</v>
      </c>
      <c r="J445" s="30" t="s">
        <v>68</v>
      </c>
      <c r="K445" s="24" t="s">
        <v>551</v>
      </c>
      <c r="L445" s="65" t="s">
        <v>1769</v>
      </c>
      <c r="M445" s="55"/>
      <c r="N445" s="40"/>
      <c r="O445" s="30"/>
      <c r="P445" s="30"/>
      <c r="Q445" s="35"/>
      <c r="R445" s="30"/>
      <c r="S445" s="35"/>
      <c r="T445" s="36"/>
    </row>
    <row r="446" spans="1:20" ht="30" customHeight="1" x14ac:dyDescent="0.25">
      <c r="A446" s="24">
        <f t="shared" si="18"/>
        <v>397</v>
      </c>
      <c r="B446" s="23"/>
      <c r="C446" s="24"/>
      <c r="D446" s="24"/>
      <c r="E446" s="30" t="s">
        <v>1765</v>
      </c>
      <c r="F446" s="30" t="s">
        <v>21</v>
      </c>
      <c r="G446" s="33"/>
      <c r="H446" s="37"/>
      <c r="I446" s="44" t="s">
        <v>688</v>
      </c>
      <c r="J446" s="41" t="s">
        <v>33</v>
      </c>
      <c r="K446" s="24" t="s">
        <v>33</v>
      </c>
      <c r="L446" s="65" t="s">
        <v>1770</v>
      </c>
      <c r="M446" s="55"/>
      <c r="N446" s="40"/>
      <c r="O446" s="30"/>
      <c r="P446" s="30"/>
      <c r="Q446" s="35"/>
      <c r="R446" s="30"/>
      <c r="S446" s="35"/>
      <c r="T446" s="36"/>
    </row>
    <row r="447" spans="1:20" ht="30" customHeight="1" x14ac:dyDescent="0.25">
      <c r="A447" s="24">
        <f t="shared" si="18"/>
        <v>398</v>
      </c>
      <c r="B447" s="23"/>
      <c r="C447" s="24"/>
      <c r="D447" s="24"/>
      <c r="E447" s="30" t="s">
        <v>1765</v>
      </c>
      <c r="F447" s="30" t="s">
        <v>21</v>
      </c>
      <c r="G447" s="33"/>
      <c r="H447" s="37"/>
      <c r="I447" s="44" t="s">
        <v>1562</v>
      </c>
      <c r="J447" s="24" t="s">
        <v>43</v>
      </c>
      <c r="K447" s="128" t="s">
        <v>43</v>
      </c>
      <c r="L447" s="164" t="s">
        <v>1771</v>
      </c>
      <c r="M447" s="33">
        <v>31339</v>
      </c>
      <c r="N447" s="40" t="s">
        <v>1375</v>
      </c>
      <c r="O447" s="30" t="s">
        <v>47</v>
      </c>
      <c r="P447" s="30" t="s">
        <v>48</v>
      </c>
      <c r="Q447" s="35" t="s">
        <v>1772</v>
      </c>
      <c r="R447" s="30">
        <v>2</v>
      </c>
      <c r="S447" s="35" t="e">
        <f>#N/A</f>
        <v>#N/A</v>
      </c>
      <c r="T447" s="53" t="s">
        <v>1773</v>
      </c>
    </row>
    <row r="448" spans="1:20" ht="30" customHeight="1" x14ac:dyDescent="0.25">
      <c r="A448" s="24">
        <f t="shared" si="18"/>
        <v>399</v>
      </c>
      <c r="B448" s="23"/>
      <c r="C448" s="24"/>
      <c r="D448" s="24"/>
      <c r="E448" s="30" t="s">
        <v>1765</v>
      </c>
      <c r="F448" s="30" t="s">
        <v>21</v>
      </c>
      <c r="G448" s="33"/>
      <c r="H448" s="37"/>
      <c r="I448" s="44" t="s">
        <v>704</v>
      </c>
      <c r="J448" s="24" t="s">
        <v>43</v>
      </c>
      <c r="K448" s="41" t="s">
        <v>68</v>
      </c>
      <c r="L448" s="65" t="s">
        <v>1774</v>
      </c>
      <c r="M448" s="55"/>
      <c r="N448" s="40"/>
      <c r="O448" s="30"/>
      <c r="P448" s="30"/>
      <c r="Q448" s="35"/>
      <c r="R448" s="30"/>
      <c r="S448" s="35"/>
      <c r="T448" s="36"/>
    </row>
    <row r="449" spans="1:20" ht="30" customHeight="1" x14ac:dyDescent="0.25">
      <c r="A449" s="24">
        <f t="shared" si="18"/>
        <v>400</v>
      </c>
      <c r="B449" s="23"/>
      <c r="C449" s="24"/>
      <c r="D449" s="24"/>
      <c r="E449" s="30" t="s">
        <v>1765</v>
      </c>
      <c r="F449" s="30" t="s">
        <v>21</v>
      </c>
      <c r="G449" s="33"/>
      <c r="H449" s="37"/>
      <c r="I449" s="44" t="s">
        <v>691</v>
      </c>
      <c r="J449" s="24" t="s">
        <v>43</v>
      </c>
      <c r="K449" s="41" t="s">
        <v>68</v>
      </c>
      <c r="L449" s="65" t="s">
        <v>1775</v>
      </c>
      <c r="M449" s="55"/>
      <c r="N449" s="40"/>
      <c r="O449" s="30"/>
      <c r="P449" s="30"/>
      <c r="Q449" s="35"/>
      <c r="R449" s="30"/>
      <c r="S449" s="35"/>
      <c r="T449" s="36"/>
    </row>
    <row r="450" spans="1:20" ht="30" customHeight="1" x14ac:dyDescent="0.25">
      <c r="A450" s="24">
        <f t="shared" si="18"/>
        <v>401</v>
      </c>
      <c r="B450" s="23"/>
      <c r="C450" s="24"/>
      <c r="D450" s="24"/>
      <c r="E450" s="30" t="s">
        <v>1765</v>
      </c>
      <c r="F450" s="30" t="s">
        <v>21</v>
      </c>
      <c r="G450" s="33"/>
      <c r="H450" s="37"/>
      <c r="I450" s="44" t="s">
        <v>713</v>
      </c>
      <c r="J450" s="41" t="s">
        <v>68</v>
      </c>
      <c r="K450" s="38">
        <v>85</v>
      </c>
      <c r="L450" s="230" t="s">
        <v>29</v>
      </c>
      <c r="O450"/>
      <c r="P450"/>
      <c r="R450"/>
      <c r="T450"/>
    </row>
    <row r="451" spans="1:20" ht="30" customHeight="1" x14ac:dyDescent="0.25">
      <c r="A451" s="24">
        <f t="shared" si="18"/>
        <v>402</v>
      </c>
      <c r="B451" s="23"/>
      <c r="C451" s="24"/>
      <c r="D451" s="24"/>
      <c r="E451" s="30" t="s">
        <v>1765</v>
      </c>
      <c r="F451" s="30" t="s">
        <v>21</v>
      </c>
      <c r="G451" s="33"/>
      <c r="H451" s="37"/>
      <c r="I451" s="44" t="s">
        <v>229</v>
      </c>
      <c r="J451" s="41" t="s">
        <v>68</v>
      </c>
      <c r="K451" s="41" t="s">
        <v>68</v>
      </c>
      <c r="L451" s="65" t="s">
        <v>1776</v>
      </c>
      <c r="M451" s="55"/>
      <c r="N451" s="40"/>
      <c r="O451" s="30"/>
      <c r="P451" s="30"/>
      <c r="Q451" s="35"/>
      <c r="R451" s="30"/>
      <c r="S451" s="35"/>
      <c r="T451" s="36"/>
    </row>
    <row r="452" spans="1:20" ht="30" customHeight="1" x14ac:dyDescent="0.25">
      <c r="A452" s="24">
        <f t="shared" si="18"/>
        <v>403</v>
      </c>
      <c r="B452" s="23"/>
      <c r="C452" s="24"/>
      <c r="D452" s="24"/>
      <c r="E452" s="30" t="s">
        <v>1765</v>
      </c>
      <c r="F452" s="30" t="s">
        <v>21</v>
      </c>
      <c r="G452" s="33"/>
      <c r="H452" s="37"/>
      <c r="I452" s="44" t="s">
        <v>235</v>
      </c>
      <c r="J452" s="41" t="s">
        <v>760</v>
      </c>
      <c r="K452" s="30" t="s">
        <v>924</v>
      </c>
      <c r="L452" s="65" t="s">
        <v>1777</v>
      </c>
      <c r="M452" s="55"/>
      <c r="N452" s="40"/>
      <c r="O452" s="30"/>
      <c r="P452" s="30"/>
      <c r="Q452" s="35"/>
      <c r="R452" s="30"/>
      <c r="S452" s="35"/>
      <c r="T452" s="36"/>
    </row>
    <row r="453" spans="1:20" ht="30" customHeight="1" x14ac:dyDescent="0.25">
      <c r="A453" s="24">
        <f t="shared" si="18"/>
        <v>404</v>
      </c>
      <c r="B453" s="23"/>
      <c r="C453" s="24"/>
      <c r="D453" s="24"/>
      <c r="E453" s="30" t="s">
        <v>1765</v>
      </c>
      <c r="F453" s="30" t="s">
        <v>21</v>
      </c>
      <c r="G453" s="33"/>
      <c r="H453" s="37"/>
      <c r="I453" s="44" t="s">
        <v>762</v>
      </c>
      <c r="J453" s="41" t="s">
        <v>33</v>
      </c>
      <c r="K453" s="38">
        <v>86</v>
      </c>
      <c r="L453" s="230" t="s">
        <v>29</v>
      </c>
      <c r="M453" s="55"/>
      <c r="N453" s="40"/>
      <c r="O453" s="30"/>
      <c r="P453" s="30"/>
      <c r="Q453" s="35"/>
      <c r="R453" s="30"/>
      <c r="S453" s="35"/>
      <c r="T453" s="36"/>
    </row>
    <row r="454" spans="1:20" ht="30" customHeight="1" x14ac:dyDescent="0.25">
      <c r="A454" s="24">
        <f t="shared" si="18"/>
        <v>405</v>
      </c>
      <c r="B454" s="23"/>
      <c r="C454" s="24"/>
      <c r="D454" s="24"/>
      <c r="E454" s="30" t="s">
        <v>1765</v>
      </c>
      <c r="F454" s="30" t="s">
        <v>21</v>
      </c>
      <c r="G454" s="33"/>
      <c r="H454" s="37"/>
      <c r="I454" s="44" t="s">
        <v>249</v>
      </c>
      <c r="J454" s="41" t="s">
        <v>68</v>
      </c>
      <c r="K454" s="41" t="s">
        <v>68</v>
      </c>
      <c r="L454" s="45" t="s">
        <v>1778</v>
      </c>
      <c r="M454" s="33">
        <v>30612</v>
      </c>
      <c r="N454" s="40" t="s">
        <v>1779</v>
      </c>
      <c r="O454" s="30" t="s">
        <v>47</v>
      </c>
      <c r="P454" s="30" t="s">
        <v>48</v>
      </c>
      <c r="Q454" s="35" t="s">
        <v>1780</v>
      </c>
      <c r="R454" s="30">
        <v>2</v>
      </c>
      <c r="S454" s="35" t="s">
        <v>1781</v>
      </c>
      <c r="T454" s="53" t="s">
        <v>1782</v>
      </c>
    </row>
    <row r="455" spans="1:20" ht="30" customHeight="1" x14ac:dyDescent="0.25">
      <c r="A455" s="24">
        <f t="shared" si="18"/>
        <v>406</v>
      </c>
      <c r="B455" s="23"/>
      <c r="C455" s="24"/>
      <c r="D455" s="24"/>
      <c r="E455" s="30" t="s">
        <v>1765</v>
      </c>
      <c r="F455" s="30" t="s">
        <v>21</v>
      </c>
      <c r="G455" s="33"/>
      <c r="H455" s="37"/>
      <c r="I455" s="44" t="s">
        <v>261</v>
      </c>
      <c r="J455" s="41" t="s">
        <v>44</v>
      </c>
      <c r="K455" s="38">
        <v>87</v>
      </c>
      <c r="L455" s="230" t="s">
        <v>29</v>
      </c>
      <c r="M455" s="55"/>
      <c r="N455" s="40"/>
      <c r="O455" s="30"/>
      <c r="P455" s="30"/>
      <c r="Q455" s="35"/>
      <c r="R455" s="30"/>
      <c r="S455" s="35"/>
      <c r="T455" s="36"/>
    </row>
    <row r="456" spans="1:20" ht="30" customHeight="1" x14ac:dyDescent="0.25">
      <c r="A456" s="24">
        <f t="shared" si="18"/>
        <v>407</v>
      </c>
      <c r="B456" s="23"/>
      <c r="C456" s="24"/>
      <c r="D456" s="24"/>
      <c r="E456" s="30" t="s">
        <v>1765</v>
      </c>
      <c r="F456" s="30" t="s">
        <v>21</v>
      </c>
      <c r="G456" s="33"/>
      <c r="H456" s="37"/>
      <c r="I456" s="44" t="s">
        <v>269</v>
      </c>
      <c r="J456" s="41" t="s">
        <v>68</v>
      </c>
      <c r="K456" s="30" t="s">
        <v>43</v>
      </c>
      <c r="L456" s="65" t="s">
        <v>1783</v>
      </c>
      <c r="M456" s="55"/>
      <c r="N456" s="40"/>
      <c r="O456" s="30"/>
      <c r="P456" s="30"/>
      <c r="Q456" s="35"/>
      <c r="R456" s="30"/>
      <c r="S456" s="35"/>
      <c r="T456" s="36"/>
    </row>
    <row r="457" spans="1:20" ht="30" customHeight="1" x14ac:dyDescent="0.25">
      <c r="A457" s="24">
        <f t="shared" si="18"/>
        <v>408</v>
      </c>
      <c r="B457" s="23"/>
      <c r="C457" s="24"/>
      <c r="D457" s="24"/>
      <c r="E457" s="30" t="s">
        <v>1765</v>
      </c>
      <c r="F457" s="30" t="s">
        <v>21</v>
      </c>
      <c r="G457" s="33"/>
      <c r="H457" s="37"/>
      <c r="I457" s="44" t="s">
        <v>773</v>
      </c>
      <c r="J457" s="41" t="s">
        <v>33</v>
      </c>
      <c r="K457" s="38">
        <v>88</v>
      </c>
      <c r="L457" s="230" t="s">
        <v>29</v>
      </c>
      <c r="M457" s="55"/>
      <c r="N457" s="40"/>
      <c r="O457" s="30"/>
      <c r="P457" s="30"/>
      <c r="Q457" s="35"/>
      <c r="R457" s="30"/>
      <c r="S457" s="35"/>
      <c r="T457" s="36"/>
    </row>
    <row r="458" spans="1:20" ht="30" customHeight="1" x14ac:dyDescent="0.25">
      <c r="A458" s="24">
        <f t="shared" si="18"/>
        <v>409</v>
      </c>
      <c r="B458" s="23"/>
      <c r="C458" s="24"/>
      <c r="D458" s="24"/>
      <c r="E458" s="30" t="s">
        <v>1765</v>
      </c>
      <c r="F458" s="30" t="s">
        <v>21</v>
      </c>
      <c r="G458" s="33"/>
      <c r="H458" s="37"/>
      <c r="I458" s="44" t="s">
        <v>286</v>
      </c>
      <c r="J458" s="41" t="s">
        <v>68</v>
      </c>
      <c r="K458" s="30" t="s">
        <v>44</v>
      </c>
      <c r="L458" s="65" t="s">
        <v>1784</v>
      </c>
      <c r="M458" s="55"/>
      <c r="N458" s="40"/>
      <c r="O458" s="30"/>
      <c r="P458" s="30"/>
      <c r="Q458" s="35"/>
      <c r="R458" s="30"/>
      <c r="S458" s="35"/>
      <c r="T458" s="36"/>
    </row>
    <row r="459" spans="1:20" ht="30" customHeight="1" x14ac:dyDescent="0.25">
      <c r="A459" s="24">
        <f t="shared" si="18"/>
        <v>410</v>
      </c>
      <c r="B459" s="23"/>
      <c r="C459" s="24"/>
      <c r="D459" s="67"/>
      <c r="E459" s="68" t="s">
        <v>1765</v>
      </c>
      <c r="F459" s="68" t="s">
        <v>21</v>
      </c>
      <c r="G459" s="33"/>
      <c r="H459" s="37"/>
      <c r="I459" s="44" t="s">
        <v>1598</v>
      </c>
      <c r="J459" s="41" t="s">
        <v>68</v>
      </c>
      <c r="K459" s="30" t="s">
        <v>44</v>
      </c>
      <c r="L459" s="65" t="s">
        <v>1785</v>
      </c>
      <c r="M459" s="55"/>
      <c r="N459" s="40"/>
      <c r="O459" s="30"/>
      <c r="P459" s="30"/>
      <c r="Q459" s="35"/>
      <c r="R459" s="30"/>
      <c r="S459" s="35"/>
      <c r="T459" s="36"/>
    </row>
    <row r="460" spans="1:20" ht="30" customHeight="1" x14ac:dyDescent="0.25">
      <c r="A460" s="178" t="e">
        <f>REPT(#REF!,#REF!)</f>
        <v>#REF!</v>
      </c>
      <c r="B460" s="249"/>
      <c r="C460" s="179"/>
      <c r="D460" s="72"/>
      <c r="E460" s="250" t="s">
        <v>1765</v>
      </c>
      <c r="F460" s="192" t="e">
        <f>REPT(#REF!,#REF!)</f>
        <v>#REF!</v>
      </c>
      <c r="G460" s="251"/>
      <c r="H460" s="184"/>
      <c r="I460" s="183"/>
      <c r="J460" s="77"/>
      <c r="K460" s="77"/>
      <c r="L460" s="182"/>
      <c r="M460" s="183"/>
      <c r="N460" s="178"/>
      <c r="O460" s="187"/>
      <c r="P460" s="185"/>
      <c r="Q460" s="185"/>
      <c r="R460" s="185"/>
      <c r="S460" s="185"/>
      <c r="T460" s="187"/>
    </row>
    <row r="461" spans="1:20" ht="30" customHeight="1" x14ac:dyDescent="0.25">
      <c r="A461" s="24">
        <f>A459+1</f>
        <v>411</v>
      </c>
      <c r="B461" s="23" t="s">
        <v>213</v>
      </c>
      <c r="C461" s="24"/>
      <c r="D461" s="25"/>
      <c r="E461" s="26" t="s">
        <v>1765</v>
      </c>
      <c r="F461" s="26" t="s">
        <v>1786</v>
      </c>
      <c r="G461" s="33"/>
      <c r="H461" s="264" t="s">
        <v>41</v>
      </c>
      <c r="I461" s="91" t="s">
        <v>1787</v>
      </c>
      <c r="J461" s="41" t="s">
        <v>68</v>
      </c>
      <c r="K461" s="41" t="s">
        <v>68</v>
      </c>
      <c r="L461" s="45" t="s">
        <v>1788</v>
      </c>
      <c r="M461" s="33">
        <v>33220</v>
      </c>
      <c r="N461" s="40" t="s">
        <v>1789</v>
      </c>
      <c r="O461" s="30" t="s">
        <v>47</v>
      </c>
      <c r="P461" s="30" t="s">
        <v>48</v>
      </c>
      <c r="Q461" s="35" t="s">
        <v>1790</v>
      </c>
      <c r="R461" s="30">
        <v>1</v>
      </c>
      <c r="S461" s="35" t="s">
        <v>1791</v>
      </c>
      <c r="T461" s="53" t="s">
        <v>1792</v>
      </c>
    </row>
    <row r="462" spans="1:20" ht="30" customHeight="1" x14ac:dyDescent="0.25">
      <c r="A462" s="24">
        <f>A461+1</f>
        <v>412</v>
      </c>
      <c r="B462" s="23" t="s">
        <v>213</v>
      </c>
      <c r="C462" s="24" t="s">
        <v>1793</v>
      </c>
      <c r="D462" s="24" t="s">
        <v>185</v>
      </c>
      <c r="E462" s="30" t="s">
        <v>1765</v>
      </c>
      <c r="F462" s="30" t="s">
        <v>1786</v>
      </c>
      <c r="G462" s="33"/>
      <c r="H462" s="264" t="s">
        <v>41</v>
      </c>
      <c r="I462" s="92" t="s">
        <v>1794</v>
      </c>
      <c r="J462" s="41" t="s">
        <v>44</v>
      </c>
      <c r="K462" s="38">
        <v>89</v>
      </c>
      <c r="L462" s="63" t="s">
        <v>1795</v>
      </c>
      <c r="M462" s="33"/>
      <c r="N462" s="40"/>
      <c r="O462" s="30"/>
      <c r="P462" s="30"/>
      <c r="Q462" s="35"/>
      <c r="R462" s="30"/>
      <c r="S462" s="35"/>
      <c r="T462" s="36"/>
    </row>
    <row r="463" spans="1:20" ht="30" customHeight="1" x14ac:dyDescent="0.25">
      <c r="A463" s="24">
        <f>A462+1</f>
        <v>413</v>
      </c>
      <c r="B463" s="23" t="s">
        <v>213</v>
      </c>
      <c r="C463" s="24" t="s">
        <v>1793</v>
      </c>
      <c r="D463" s="24" t="s">
        <v>185</v>
      </c>
      <c r="E463" s="30" t="s">
        <v>1765</v>
      </c>
      <c r="F463" s="30" t="s">
        <v>1786</v>
      </c>
      <c r="G463" s="33"/>
      <c r="H463" s="264" t="s">
        <v>41</v>
      </c>
      <c r="I463" s="92" t="s">
        <v>1796</v>
      </c>
      <c r="J463" s="41" t="s">
        <v>44</v>
      </c>
      <c r="K463" s="41" t="s">
        <v>44</v>
      </c>
      <c r="L463" s="56" t="s">
        <v>1797</v>
      </c>
      <c r="M463" s="33">
        <v>34199</v>
      </c>
      <c r="N463" s="40" t="s">
        <v>1798</v>
      </c>
      <c r="O463" s="30" t="s">
        <v>47</v>
      </c>
      <c r="P463" s="30" t="s">
        <v>37</v>
      </c>
      <c r="Q463" s="35" t="s">
        <v>1799</v>
      </c>
      <c r="R463" s="30"/>
      <c r="S463" s="35" t="s">
        <v>84</v>
      </c>
      <c r="T463" s="53" t="s">
        <v>1800</v>
      </c>
    </row>
    <row r="464" spans="1:20" ht="30" customHeight="1" x14ac:dyDescent="0.25">
      <c r="A464" s="24">
        <f>A463+1</f>
        <v>414</v>
      </c>
      <c r="B464" s="23" t="s">
        <v>213</v>
      </c>
      <c r="C464" s="24" t="s">
        <v>1793</v>
      </c>
      <c r="D464" s="24" t="s">
        <v>185</v>
      </c>
      <c r="E464" s="30" t="s">
        <v>1765</v>
      </c>
      <c r="F464" s="30" t="s">
        <v>1786</v>
      </c>
      <c r="G464" s="33"/>
      <c r="H464" s="264" t="s">
        <v>41</v>
      </c>
      <c r="I464" s="92" t="s">
        <v>1801</v>
      </c>
      <c r="J464" s="41" t="s">
        <v>44</v>
      </c>
      <c r="K464" s="41" t="s">
        <v>44</v>
      </c>
      <c r="L464" s="56" t="s">
        <v>1802</v>
      </c>
      <c r="M464" s="33">
        <v>34738</v>
      </c>
      <c r="N464" s="40" t="s">
        <v>451</v>
      </c>
      <c r="O464" s="30" t="s">
        <v>47</v>
      </c>
      <c r="P464" s="30" t="s">
        <v>48</v>
      </c>
      <c r="Q464" s="35" t="s">
        <v>1803</v>
      </c>
      <c r="R464" s="30">
        <v>1</v>
      </c>
      <c r="S464" s="35" t="s">
        <v>1804</v>
      </c>
      <c r="T464" s="53" t="s">
        <v>1805</v>
      </c>
    </row>
    <row r="465" spans="1:20" ht="30" customHeight="1" x14ac:dyDescent="0.25">
      <c r="A465" s="24">
        <f>A464+1</f>
        <v>415</v>
      </c>
      <c r="B465" s="23" t="s">
        <v>213</v>
      </c>
      <c r="C465" s="24" t="s">
        <v>1793</v>
      </c>
      <c r="D465" s="67" t="s">
        <v>185</v>
      </c>
      <c r="E465" s="68" t="s">
        <v>1765</v>
      </c>
      <c r="F465" s="68" t="s">
        <v>1786</v>
      </c>
      <c r="G465" s="33"/>
      <c r="H465" s="264" t="s">
        <v>41</v>
      </c>
      <c r="I465" s="92" t="s">
        <v>1806</v>
      </c>
      <c r="J465" s="41" t="s">
        <v>44</v>
      </c>
      <c r="K465" s="41" t="s">
        <v>44</v>
      </c>
      <c r="L465" s="45" t="s">
        <v>1807</v>
      </c>
      <c r="M465" s="33">
        <v>31220</v>
      </c>
      <c r="N465" s="40" t="s">
        <v>1808</v>
      </c>
      <c r="O465" s="30" t="s">
        <v>587</v>
      </c>
      <c r="P465" s="30" t="s">
        <v>37</v>
      </c>
      <c r="Q465" s="35" t="s">
        <v>1809</v>
      </c>
      <c r="R465" s="30">
        <v>1</v>
      </c>
      <c r="S465" s="35" t="s">
        <v>1810</v>
      </c>
      <c r="T465" s="53" t="s">
        <v>1811</v>
      </c>
    </row>
    <row r="466" spans="1:20" ht="30" customHeight="1" x14ac:dyDescent="0.25">
      <c r="A466" s="178" t="e">
        <f>REPT(#REF!,#REF!)</f>
        <v>#REF!</v>
      </c>
      <c r="B466" s="249"/>
      <c r="C466" s="179"/>
      <c r="D466" s="72"/>
      <c r="E466" s="250" t="s">
        <v>1765</v>
      </c>
      <c r="F466" s="192" t="e">
        <f>REPT(#REF!,#REF!)</f>
        <v>#REF!</v>
      </c>
      <c r="G466" s="251"/>
      <c r="H466" s="184"/>
      <c r="I466" s="183"/>
      <c r="J466" s="77"/>
      <c r="K466" s="77"/>
      <c r="L466" s="182"/>
      <c r="M466" s="183"/>
      <c r="N466" s="178"/>
      <c r="O466" s="187"/>
      <c r="P466" s="185"/>
      <c r="Q466" s="185"/>
      <c r="R466" s="185"/>
      <c r="S466" s="185"/>
      <c r="T466" s="187"/>
    </row>
    <row r="467" spans="1:20" ht="30" customHeight="1" x14ac:dyDescent="0.25">
      <c r="A467" s="24">
        <f>A465+1</f>
        <v>416</v>
      </c>
      <c r="B467" s="23" t="s">
        <v>213</v>
      </c>
      <c r="C467" s="24"/>
      <c r="D467" s="25"/>
      <c r="E467" s="26" t="s">
        <v>1765</v>
      </c>
      <c r="F467" s="26" t="s">
        <v>1812</v>
      </c>
      <c r="G467" s="33"/>
      <c r="H467" s="264" t="s">
        <v>41</v>
      </c>
      <c r="I467" s="91" t="s">
        <v>1813</v>
      </c>
      <c r="J467" s="41" t="s">
        <v>68</v>
      </c>
      <c r="K467" s="41" t="s">
        <v>68</v>
      </c>
      <c r="L467" s="45" t="s">
        <v>1814</v>
      </c>
      <c r="M467" s="33">
        <v>30290</v>
      </c>
      <c r="N467" s="40" t="s">
        <v>1815</v>
      </c>
      <c r="O467" s="30" t="s">
        <v>47</v>
      </c>
      <c r="P467" s="30" t="s">
        <v>48</v>
      </c>
      <c r="Q467" s="35" t="s">
        <v>1816</v>
      </c>
      <c r="R467" s="30">
        <v>2</v>
      </c>
      <c r="S467" s="35" t="s">
        <v>84</v>
      </c>
      <c r="T467" s="53" t="s">
        <v>1817</v>
      </c>
    </row>
    <row r="468" spans="1:20" ht="30" customHeight="1" x14ac:dyDescent="0.25">
      <c r="A468" s="24">
        <f>A467+1</f>
        <v>417</v>
      </c>
      <c r="B468" s="23" t="s">
        <v>213</v>
      </c>
      <c r="C468" s="24" t="s">
        <v>1793</v>
      </c>
      <c r="D468" s="24" t="s">
        <v>185</v>
      </c>
      <c r="E468" s="30" t="s">
        <v>1765</v>
      </c>
      <c r="F468" s="30" t="s">
        <v>1812</v>
      </c>
      <c r="G468" s="33"/>
      <c r="H468" s="264" t="s">
        <v>41</v>
      </c>
      <c r="I468" s="92" t="s">
        <v>1818</v>
      </c>
      <c r="J468" s="41" t="s">
        <v>44</v>
      </c>
      <c r="K468" s="41" t="s">
        <v>68</v>
      </c>
      <c r="L468" s="45" t="s">
        <v>1819</v>
      </c>
      <c r="M468" s="33">
        <v>29314</v>
      </c>
      <c r="N468" s="40" t="s">
        <v>451</v>
      </c>
      <c r="O468" s="30" t="s">
        <v>47</v>
      </c>
      <c r="P468" s="30" t="s">
        <v>48</v>
      </c>
      <c r="Q468" s="35" t="s">
        <v>1820</v>
      </c>
      <c r="R468" s="30">
        <v>2</v>
      </c>
      <c r="S468" s="35" t="s">
        <v>218</v>
      </c>
      <c r="T468" s="53" t="s">
        <v>1821</v>
      </c>
    </row>
    <row r="469" spans="1:20" ht="30" customHeight="1" x14ac:dyDescent="0.25">
      <c r="A469" s="24">
        <f>A468+1</f>
        <v>418</v>
      </c>
      <c r="B469" s="23" t="s">
        <v>213</v>
      </c>
      <c r="C469" s="24" t="s">
        <v>1793</v>
      </c>
      <c r="D469" s="24" t="s">
        <v>185</v>
      </c>
      <c r="E469" s="30" t="s">
        <v>1765</v>
      </c>
      <c r="F469" s="30" t="s">
        <v>1812</v>
      </c>
      <c r="G469" s="33"/>
      <c r="H469" s="264" t="s">
        <v>41</v>
      </c>
      <c r="I469" s="92" t="s">
        <v>1822</v>
      </c>
      <c r="J469" s="41" t="s">
        <v>44</v>
      </c>
      <c r="K469" s="41" t="s">
        <v>44</v>
      </c>
      <c r="L469" s="45" t="s">
        <v>1823</v>
      </c>
      <c r="M469" s="33">
        <v>29952</v>
      </c>
      <c r="N469" s="40" t="s">
        <v>1824</v>
      </c>
      <c r="O469" s="30" t="s">
        <v>47</v>
      </c>
      <c r="P469" s="30" t="s">
        <v>48</v>
      </c>
      <c r="Q469" s="35" t="s">
        <v>1825</v>
      </c>
      <c r="R469" s="30">
        <v>2</v>
      </c>
      <c r="S469" s="35" t="s">
        <v>1826</v>
      </c>
      <c r="T469" s="24" t="s">
        <v>1827</v>
      </c>
    </row>
    <row r="470" spans="1:20" ht="30" customHeight="1" x14ac:dyDescent="0.25">
      <c r="A470" s="24">
        <f>A469+1</f>
        <v>419</v>
      </c>
      <c r="B470" s="23" t="s">
        <v>213</v>
      </c>
      <c r="C470" s="24" t="s">
        <v>1793</v>
      </c>
      <c r="D470" s="24" t="s">
        <v>185</v>
      </c>
      <c r="E470" s="30" t="s">
        <v>1765</v>
      </c>
      <c r="F470" s="30" t="s">
        <v>1812</v>
      </c>
      <c r="G470" s="33"/>
      <c r="H470" s="264" t="s">
        <v>41</v>
      </c>
      <c r="I470" s="92" t="s">
        <v>1828</v>
      </c>
      <c r="J470" s="41" t="s">
        <v>44</v>
      </c>
      <c r="K470" s="41" t="s">
        <v>44</v>
      </c>
      <c r="L470" s="45" t="s">
        <v>1829</v>
      </c>
      <c r="M470" s="33">
        <v>32528</v>
      </c>
      <c r="N470" s="40" t="s">
        <v>1375</v>
      </c>
      <c r="O470" s="30" t="s">
        <v>47</v>
      </c>
      <c r="P470" s="30" t="s">
        <v>48</v>
      </c>
      <c r="Q470" s="35" t="s">
        <v>1830</v>
      </c>
      <c r="R470" s="30"/>
      <c r="S470" s="35" t="s">
        <v>218</v>
      </c>
      <c r="T470" s="53" t="s">
        <v>1831</v>
      </c>
    </row>
    <row r="471" spans="1:20" ht="30" customHeight="1" x14ac:dyDescent="0.25">
      <c r="A471" s="24">
        <f>A470+1</f>
        <v>420</v>
      </c>
      <c r="B471" s="23" t="s">
        <v>213</v>
      </c>
      <c r="C471" s="24" t="s">
        <v>1793</v>
      </c>
      <c r="D471" s="67" t="s">
        <v>185</v>
      </c>
      <c r="E471" s="68" t="s">
        <v>1765</v>
      </c>
      <c r="F471" s="68" t="s">
        <v>1812</v>
      </c>
      <c r="G471" s="69"/>
      <c r="H471" s="264" t="s">
        <v>41</v>
      </c>
      <c r="I471" s="92" t="s">
        <v>1832</v>
      </c>
      <c r="J471" s="41" t="s">
        <v>44</v>
      </c>
      <c r="K471" s="41" t="s">
        <v>43</v>
      </c>
      <c r="L471" s="45" t="s">
        <v>1833</v>
      </c>
      <c r="M471" s="33">
        <v>28601</v>
      </c>
      <c r="N471" s="40" t="s">
        <v>1834</v>
      </c>
      <c r="O471" s="30" t="s">
        <v>370</v>
      </c>
      <c r="P471" s="30" t="s">
        <v>48</v>
      </c>
      <c r="Q471" s="35" t="s">
        <v>1835</v>
      </c>
      <c r="R471" s="30">
        <v>2</v>
      </c>
      <c r="S471" s="35" t="s">
        <v>1836</v>
      </c>
      <c r="T471" s="53" t="s">
        <v>1837</v>
      </c>
    </row>
    <row r="472" spans="1:20" ht="30" customHeight="1" x14ac:dyDescent="0.25">
      <c r="A472" s="178" t="e">
        <f>REPT(#REF!,#REF!)</f>
        <v>#REF!</v>
      </c>
      <c r="B472" s="249"/>
      <c r="C472" s="179"/>
      <c r="D472" s="72"/>
      <c r="E472" s="250" t="s">
        <v>1765</v>
      </c>
      <c r="F472" s="74" t="e">
        <f>REPT(#REF!,#REF!)</f>
        <v>#REF!</v>
      </c>
      <c r="G472" s="75"/>
      <c r="H472" s="251"/>
      <c r="I472" s="183"/>
      <c r="J472" s="77"/>
      <c r="K472" s="77"/>
      <c r="L472" s="182"/>
      <c r="M472" s="183"/>
      <c r="N472" s="178"/>
      <c r="O472" s="187"/>
      <c r="P472" s="185"/>
      <c r="Q472" s="185"/>
      <c r="R472" s="185"/>
      <c r="S472" s="185"/>
      <c r="T472" s="187"/>
    </row>
    <row r="473" spans="1:20" ht="30" customHeight="1" x14ac:dyDescent="0.25">
      <c r="A473" s="24">
        <f>A471+1</f>
        <v>421</v>
      </c>
      <c r="B473" s="23" t="s">
        <v>213</v>
      </c>
      <c r="C473" s="24"/>
      <c r="D473" s="25"/>
      <c r="E473" s="26" t="s">
        <v>1765</v>
      </c>
      <c r="F473" s="26" t="s">
        <v>1838</v>
      </c>
      <c r="G473" s="87"/>
      <c r="H473" s="264" t="s">
        <v>41</v>
      </c>
      <c r="I473" s="91" t="s">
        <v>1839</v>
      </c>
      <c r="J473" s="41" t="s">
        <v>68</v>
      </c>
      <c r="K473" s="41" t="s">
        <v>43</v>
      </c>
      <c r="L473" s="45" t="s">
        <v>1840</v>
      </c>
      <c r="M473" s="33">
        <v>27531</v>
      </c>
      <c r="N473" s="40" t="s">
        <v>1841</v>
      </c>
      <c r="O473" s="30" t="s">
        <v>47</v>
      </c>
      <c r="P473" s="30" t="s">
        <v>48</v>
      </c>
      <c r="Q473" s="35" t="s">
        <v>1842</v>
      </c>
      <c r="R473" s="30">
        <v>3</v>
      </c>
      <c r="S473" s="35" t="s">
        <v>1843</v>
      </c>
      <c r="T473" s="53" t="s">
        <v>1844</v>
      </c>
    </row>
    <row r="474" spans="1:20" ht="30" customHeight="1" x14ac:dyDescent="0.25">
      <c r="A474" s="24">
        <f>A473+1</f>
        <v>422</v>
      </c>
      <c r="B474" s="23" t="s">
        <v>213</v>
      </c>
      <c r="C474" s="24" t="s">
        <v>1793</v>
      </c>
      <c r="D474" s="24" t="s">
        <v>185</v>
      </c>
      <c r="E474" s="30" t="s">
        <v>1765</v>
      </c>
      <c r="F474" s="30" t="s">
        <v>1838</v>
      </c>
      <c r="G474" s="33"/>
      <c r="H474" s="264" t="s">
        <v>41</v>
      </c>
      <c r="I474" s="92" t="s">
        <v>1845</v>
      </c>
      <c r="J474" s="41" t="s">
        <v>44</v>
      </c>
      <c r="K474" s="41" t="s">
        <v>68</v>
      </c>
      <c r="L474" s="45" t="s">
        <v>1846</v>
      </c>
      <c r="M474" s="33">
        <v>26418</v>
      </c>
      <c r="N474" s="40" t="s">
        <v>1847</v>
      </c>
      <c r="O474" s="30" t="s">
        <v>1398</v>
      </c>
      <c r="P474" s="30" t="s">
        <v>48</v>
      </c>
      <c r="Q474" s="35" t="s">
        <v>1848</v>
      </c>
      <c r="R474" s="30">
        <v>2</v>
      </c>
      <c r="S474" s="35" t="s">
        <v>84</v>
      </c>
      <c r="T474" s="53" t="s">
        <v>1849</v>
      </c>
    </row>
    <row r="475" spans="1:20" ht="30" customHeight="1" x14ac:dyDescent="0.25">
      <c r="A475" s="24">
        <f>A474+1</f>
        <v>423</v>
      </c>
      <c r="B475" s="23" t="s">
        <v>213</v>
      </c>
      <c r="C475" s="24" t="s">
        <v>1793</v>
      </c>
      <c r="D475" s="24" t="s">
        <v>185</v>
      </c>
      <c r="E475" s="30" t="s">
        <v>1765</v>
      </c>
      <c r="F475" s="30" t="s">
        <v>1838</v>
      </c>
      <c r="G475" s="33"/>
      <c r="H475" s="264" t="s">
        <v>41</v>
      </c>
      <c r="I475" s="92" t="s">
        <v>1850</v>
      </c>
      <c r="J475" s="41" t="s">
        <v>44</v>
      </c>
      <c r="K475" s="128" t="s">
        <v>44</v>
      </c>
      <c r="L475" s="164" t="s">
        <v>1851</v>
      </c>
      <c r="M475" s="87" t="s">
        <v>1852</v>
      </c>
      <c r="N475" s="130" t="s">
        <v>1853</v>
      </c>
      <c r="O475" s="26" t="s">
        <v>47</v>
      </c>
      <c r="P475" s="26" t="s">
        <v>48</v>
      </c>
      <c r="Q475" s="131" t="s">
        <v>1854</v>
      </c>
      <c r="R475" s="26"/>
      <c r="S475" s="131" t="s">
        <v>1855</v>
      </c>
      <c r="T475" s="132" t="s">
        <v>1856</v>
      </c>
    </row>
    <row r="476" spans="1:20" ht="30" customHeight="1" x14ac:dyDescent="0.25">
      <c r="A476" s="24">
        <f>A475+1</f>
        <v>424</v>
      </c>
      <c r="B476" s="23" t="s">
        <v>213</v>
      </c>
      <c r="C476" s="24" t="s">
        <v>1793</v>
      </c>
      <c r="D476" s="24" t="s">
        <v>185</v>
      </c>
      <c r="E476" s="30" t="s">
        <v>1765</v>
      </c>
      <c r="F476" s="30" t="s">
        <v>1838</v>
      </c>
      <c r="G476" s="33"/>
      <c r="H476" s="264" t="s">
        <v>41</v>
      </c>
      <c r="I476" s="92" t="s">
        <v>1857</v>
      </c>
      <c r="J476" s="41" t="s">
        <v>44</v>
      </c>
      <c r="K476" s="38">
        <v>90</v>
      </c>
      <c r="L476" s="63" t="s">
        <v>1795</v>
      </c>
      <c r="M476" s="69"/>
      <c r="N476" s="134"/>
      <c r="O476" s="68"/>
      <c r="P476" s="68"/>
      <c r="Q476" s="135"/>
      <c r="R476" s="68"/>
      <c r="S476" s="135"/>
      <c r="T476" s="265"/>
    </row>
    <row r="477" spans="1:20" ht="30" customHeight="1" x14ac:dyDescent="0.25">
      <c r="A477" s="24">
        <f>A476+1</f>
        <v>425</v>
      </c>
      <c r="B477" s="23" t="s">
        <v>213</v>
      </c>
      <c r="C477" s="24" t="s">
        <v>1793</v>
      </c>
      <c r="D477" s="67" t="s">
        <v>185</v>
      </c>
      <c r="E477" s="68" t="s">
        <v>1765</v>
      </c>
      <c r="F477" s="68" t="s">
        <v>1838</v>
      </c>
      <c r="G477" s="33"/>
      <c r="H477" s="264" t="s">
        <v>41</v>
      </c>
      <c r="I477" s="92" t="s">
        <v>1858</v>
      </c>
      <c r="J477" s="41" t="s">
        <v>44</v>
      </c>
      <c r="K477" s="38">
        <v>91</v>
      </c>
      <c r="L477" s="230" t="s">
        <v>29</v>
      </c>
      <c r="M477" s="33"/>
      <c r="N477" s="40"/>
      <c r="O477" s="30"/>
      <c r="P477" s="30"/>
      <c r="Q477" s="35"/>
      <c r="R477" s="30"/>
      <c r="S477" s="35"/>
      <c r="T477" s="36"/>
    </row>
    <row r="478" spans="1:20" ht="30" customHeight="1" x14ac:dyDescent="0.25">
      <c r="A478" s="178" t="e">
        <f>REPT(#REF!,#REF!)</f>
        <v>#REF!</v>
      </c>
      <c r="B478" s="249"/>
      <c r="C478" s="179"/>
      <c r="D478" s="72"/>
      <c r="E478" s="250" t="s">
        <v>1765</v>
      </c>
      <c r="F478" s="192" t="e">
        <f>REPT(#REF!,#REF!)</f>
        <v>#REF!</v>
      </c>
      <c r="G478" s="251"/>
      <c r="H478" s="184"/>
      <c r="I478" s="183"/>
      <c r="J478" s="77"/>
      <c r="K478" s="77"/>
      <c r="L478" s="182"/>
      <c r="M478" s="183"/>
      <c r="N478" s="178"/>
      <c r="O478" s="187"/>
      <c r="P478" s="185"/>
      <c r="Q478" s="185"/>
      <c r="R478" s="185"/>
      <c r="S478" s="185"/>
      <c r="T478" s="187"/>
    </row>
    <row r="479" spans="1:20" ht="30" customHeight="1" x14ac:dyDescent="0.25">
      <c r="A479" s="24">
        <f>A477+1</f>
        <v>426</v>
      </c>
      <c r="B479" s="23"/>
      <c r="C479" s="24"/>
      <c r="D479" s="152"/>
      <c r="E479" s="153" t="s">
        <v>1765</v>
      </c>
      <c r="F479" s="153" t="s">
        <v>1859</v>
      </c>
      <c r="G479" s="33"/>
      <c r="H479" s="264"/>
      <c r="I479" s="91" t="s">
        <v>1860</v>
      </c>
      <c r="J479" s="41" t="s">
        <v>68</v>
      </c>
      <c r="K479" s="41" t="s">
        <v>100</v>
      </c>
      <c r="L479" s="42" t="s">
        <v>1861</v>
      </c>
      <c r="M479" s="33">
        <v>35025</v>
      </c>
      <c r="N479" s="40" t="s">
        <v>1862</v>
      </c>
      <c r="O479" s="30" t="s">
        <v>47</v>
      </c>
      <c r="P479" s="30" t="s">
        <v>48</v>
      </c>
      <c r="Q479" s="35" t="s">
        <v>1863</v>
      </c>
      <c r="R479" s="30"/>
      <c r="S479" s="35" t="s">
        <v>1864</v>
      </c>
      <c r="T479" s="53" t="s">
        <v>1865</v>
      </c>
    </row>
    <row r="480" spans="1:20" ht="30" customHeight="1" x14ac:dyDescent="0.25">
      <c r="A480" s="178" t="e">
        <f>REPT(#REF!,#REF!)</f>
        <v>#REF!</v>
      </c>
      <c r="B480" s="249"/>
      <c r="C480" s="179"/>
      <c r="D480" s="72"/>
      <c r="E480" s="250" t="s">
        <v>1765</v>
      </c>
      <c r="F480" s="192" t="e">
        <f>REPT(#REF!,#REF!)</f>
        <v>#REF!</v>
      </c>
      <c r="G480" s="251"/>
      <c r="H480" s="184"/>
      <c r="I480" s="183"/>
      <c r="J480" s="77"/>
      <c r="K480" s="77"/>
      <c r="L480" s="182"/>
      <c r="M480" s="183"/>
      <c r="N480" s="178"/>
      <c r="O480" s="187"/>
      <c r="P480" s="185"/>
      <c r="Q480" s="185"/>
      <c r="R480" s="185"/>
      <c r="S480" s="185"/>
      <c r="T480" s="187"/>
    </row>
    <row r="481" spans="1:20" ht="30" customHeight="1" x14ac:dyDescent="0.25">
      <c r="A481" s="24">
        <f>A479+1</f>
        <v>427</v>
      </c>
      <c r="B481" s="23"/>
      <c r="C481" s="24"/>
      <c r="D481" s="25"/>
      <c r="E481" s="26" t="s">
        <v>1765</v>
      </c>
      <c r="F481" s="26" t="s">
        <v>1866</v>
      </c>
      <c r="G481" s="33"/>
      <c r="H481" s="264"/>
      <c r="I481" s="92" t="s">
        <v>1867</v>
      </c>
      <c r="J481" s="41" t="s">
        <v>43</v>
      </c>
      <c r="K481" s="41" t="s">
        <v>43</v>
      </c>
      <c r="L481" s="45" t="s">
        <v>1868</v>
      </c>
      <c r="M481" s="33">
        <v>30594</v>
      </c>
      <c r="N481" s="40" t="s">
        <v>1869</v>
      </c>
      <c r="O481" s="30" t="s">
        <v>47</v>
      </c>
      <c r="P481" s="30" t="s">
        <v>48</v>
      </c>
      <c r="Q481" s="35" t="s">
        <v>1870</v>
      </c>
      <c r="R481" s="30">
        <v>2</v>
      </c>
      <c r="S481" s="35" t="s">
        <v>1871</v>
      </c>
      <c r="T481" s="47" t="s">
        <v>1872</v>
      </c>
    </row>
    <row r="482" spans="1:20" ht="30" customHeight="1" x14ac:dyDescent="0.25">
      <c r="A482" s="24">
        <f>A481+1</f>
        <v>428</v>
      </c>
      <c r="B482" s="23"/>
      <c r="C482" s="24"/>
      <c r="D482" s="24"/>
      <c r="E482" s="30" t="s">
        <v>1765</v>
      </c>
      <c r="F482" s="30" t="s">
        <v>1866</v>
      </c>
      <c r="G482" s="33"/>
      <c r="H482" s="264"/>
      <c r="I482" s="92" t="s">
        <v>1873</v>
      </c>
      <c r="J482" s="41" t="s">
        <v>68</v>
      </c>
      <c r="K482" s="117" t="s">
        <v>68</v>
      </c>
      <c r="L482" s="144" t="s">
        <v>1874</v>
      </c>
      <c r="M482" s="69">
        <v>29592</v>
      </c>
      <c r="N482" s="134" t="s">
        <v>1375</v>
      </c>
      <c r="O482" s="68" t="s">
        <v>47</v>
      </c>
      <c r="P482" s="68" t="s">
        <v>48</v>
      </c>
      <c r="Q482" s="135" t="s">
        <v>1875</v>
      </c>
      <c r="R482" s="68">
        <v>2</v>
      </c>
      <c r="S482" s="135" t="s">
        <v>1876</v>
      </c>
      <c r="T482" s="136" t="s">
        <v>1877</v>
      </c>
    </row>
    <row r="483" spans="1:20" ht="30" customHeight="1" x14ac:dyDescent="0.25">
      <c r="A483" s="24">
        <f>A482+1</f>
        <v>429</v>
      </c>
      <c r="B483" s="23"/>
      <c r="C483" s="24"/>
      <c r="D483" s="24"/>
      <c r="E483" s="30" t="s">
        <v>1765</v>
      </c>
      <c r="F483" s="30" t="s">
        <v>1866</v>
      </c>
      <c r="G483" s="33"/>
      <c r="H483" s="264"/>
      <c r="I483" s="92" t="s">
        <v>1878</v>
      </c>
      <c r="J483" s="41" t="s">
        <v>68</v>
      </c>
      <c r="K483" s="41" t="s">
        <v>44</v>
      </c>
      <c r="L483" s="45" t="s">
        <v>1879</v>
      </c>
      <c r="M483" s="33">
        <v>31084</v>
      </c>
      <c r="N483" s="40" t="s">
        <v>1880</v>
      </c>
      <c r="O483" s="30" t="s">
        <v>47</v>
      </c>
      <c r="P483" s="30" t="s">
        <v>48</v>
      </c>
      <c r="Q483" s="35" t="s">
        <v>1881</v>
      </c>
      <c r="R483" s="30"/>
      <c r="S483" s="35" t="s">
        <v>1882</v>
      </c>
      <c r="T483" s="53" t="s">
        <v>1883</v>
      </c>
    </row>
    <row r="484" spans="1:20" ht="30" customHeight="1" x14ac:dyDescent="0.25">
      <c r="A484" s="24">
        <f>A483+1</f>
        <v>430</v>
      </c>
      <c r="B484" s="23"/>
      <c r="C484" s="24"/>
      <c r="D484" s="24"/>
      <c r="E484" s="30" t="s">
        <v>1765</v>
      </c>
      <c r="F484" s="30" t="s">
        <v>1866</v>
      </c>
      <c r="G484" s="33"/>
      <c r="H484" s="264"/>
      <c r="I484" s="92" t="s">
        <v>1884</v>
      </c>
      <c r="J484" s="41" t="s">
        <v>44</v>
      </c>
      <c r="K484" s="128" t="s">
        <v>44</v>
      </c>
      <c r="L484" s="164" t="s">
        <v>1885</v>
      </c>
      <c r="M484" s="87">
        <v>33539</v>
      </c>
      <c r="N484" s="130" t="s">
        <v>1886</v>
      </c>
      <c r="O484" s="26" t="s">
        <v>47</v>
      </c>
      <c r="P484" s="26" t="s">
        <v>48</v>
      </c>
      <c r="Q484" s="131" t="s">
        <v>1887</v>
      </c>
      <c r="R484" s="26">
        <v>1</v>
      </c>
      <c r="S484" s="131" t="s">
        <v>1888</v>
      </c>
      <c r="T484" s="132" t="s">
        <v>1889</v>
      </c>
    </row>
    <row r="485" spans="1:20" ht="30" customHeight="1" x14ac:dyDescent="0.25">
      <c r="A485" s="24"/>
      <c r="B485" s="23"/>
      <c r="C485" s="24"/>
      <c r="D485" s="24"/>
      <c r="E485" s="30" t="s">
        <v>1765</v>
      </c>
      <c r="F485" s="30" t="s">
        <v>1866</v>
      </c>
      <c r="G485" s="33"/>
      <c r="H485" s="264"/>
      <c r="I485" s="92" t="s">
        <v>1884</v>
      </c>
      <c r="J485" s="41"/>
      <c r="K485" s="98"/>
      <c r="L485" s="63" t="s">
        <v>1890</v>
      </c>
      <c r="M485" s="87"/>
      <c r="N485" s="130"/>
      <c r="O485" s="26"/>
      <c r="P485" s="26"/>
      <c r="Q485" s="131"/>
      <c r="R485" s="26"/>
      <c r="S485" s="131"/>
      <c r="T485" s="132"/>
    </row>
    <row r="486" spans="1:20" ht="30" customHeight="1" x14ac:dyDescent="0.25">
      <c r="A486" s="24">
        <f>A484+1</f>
        <v>431</v>
      </c>
      <c r="B486" s="23"/>
      <c r="C486" s="24"/>
      <c r="D486" s="24"/>
      <c r="E486" s="30" t="s">
        <v>1765</v>
      </c>
      <c r="F486" s="30" t="s">
        <v>1866</v>
      </c>
      <c r="G486" s="33"/>
      <c r="H486" s="264"/>
      <c r="I486" s="92" t="s">
        <v>1891</v>
      </c>
      <c r="J486" s="41" t="s">
        <v>44</v>
      </c>
      <c r="K486" s="38">
        <v>92</v>
      </c>
      <c r="L486" s="230" t="s">
        <v>29</v>
      </c>
      <c r="M486" s="87"/>
      <c r="N486" s="130"/>
      <c r="O486" s="26"/>
      <c r="P486" s="26"/>
      <c r="Q486" s="131"/>
      <c r="R486" s="26"/>
      <c r="S486" s="131"/>
      <c r="T486" s="189"/>
    </row>
    <row r="487" spans="1:20" ht="30" customHeight="1" x14ac:dyDescent="0.25">
      <c r="A487" s="24">
        <f>A486+1</f>
        <v>432</v>
      </c>
      <c r="B487" s="23"/>
      <c r="C487" s="24"/>
      <c r="D487" s="24"/>
      <c r="E487" s="30" t="s">
        <v>1765</v>
      </c>
      <c r="F487" s="30" t="s">
        <v>1866</v>
      </c>
      <c r="G487" s="33"/>
      <c r="H487" s="264"/>
      <c r="I487" s="92" t="s">
        <v>1892</v>
      </c>
      <c r="J487" s="41" t="s">
        <v>68</v>
      </c>
      <c r="K487" s="38">
        <v>93</v>
      </c>
      <c r="L487" s="230" t="s">
        <v>29</v>
      </c>
      <c r="M487" s="87"/>
      <c r="N487" s="130"/>
      <c r="O487" s="26"/>
      <c r="P487" s="26"/>
      <c r="Q487" s="131"/>
      <c r="R487" s="26"/>
      <c r="S487" s="131"/>
      <c r="T487" s="189"/>
    </row>
    <row r="488" spans="1:20" ht="30" customHeight="1" x14ac:dyDescent="0.25">
      <c r="A488" s="24">
        <f>A487+1</f>
        <v>433</v>
      </c>
      <c r="B488" s="23"/>
      <c r="C488" s="24"/>
      <c r="D488" s="67"/>
      <c r="E488" s="68" t="s">
        <v>1765</v>
      </c>
      <c r="F488" s="68" t="s">
        <v>1866</v>
      </c>
      <c r="G488" s="69"/>
      <c r="H488" s="264"/>
      <c r="I488" s="92" t="s">
        <v>1893</v>
      </c>
      <c r="J488" s="41" t="s">
        <v>44</v>
      </c>
      <c r="K488" s="30" t="s">
        <v>44</v>
      </c>
      <c r="L488" s="52" t="s">
        <v>1894</v>
      </c>
      <c r="M488" s="33">
        <v>29602</v>
      </c>
      <c r="N488" s="40" t="s">
        <v>451</v>
      </c>
      <c r="O488" s="30" t="s">
        <v>47</v>
      </c>
      <c r="P488" s="30" t="s">
        <v>317</v>
      </c>
      <c r="Q488" s="35" t="s">
        <v>1895</v>
      </c>
      <c r="R488" s="30"/>
      <c r="S488" s="35" t="s">
        <v>1896</v>
      </c>
      <c r="T488" s="53" t="s">
        <v>1897</v>
      </c>
    </row>
    <row r="489" spans="1:20" ht="30" customHeight="1" x14ac:dyDescent="0.25">
      <c r="A489" s="70" t="e">
        <f>REPT(#REF!,#REF!)</f>
        <v>#REF!</v>
      </c>
      <c r="B489" s="71"/>
      <c r="C489" s="72"/>
      <c r="D489" s="72"/>
      <c r="E489" s="250" t="s">
        <v>1765</v>
      </c>
      <c r="F489" s="74" t="e">
        <f>REPT(#REF!,#REF!)</f>
        <v>#REF!</v>
      </c>
      <c r="G489" s="75"/>
      <c r="H489" s="75"/>
      <c r="I489" s="76"/>
      <c r="J489" s="138"/>
      <c r="K489" s="138"/>
      <c r="L489" s="139"/>
      <c r="M489" s="76"/>
      <c r="N489" s="70"/>
      <c r="O489" s="140"/>
      <c r="P489" s="108"/>
      <c r="Q489" s="108"/>
      <c r="R489" s="108"/>
      <c r="S489" s="109"/>
      <c r="T489" s="104"/>
    </row>
    <row r="490" spans="1:20" ht="30" customHeight="1" x14ac:dyDescent="0.25">
      <c r="A490" s="24">
        <f>A488+1</f>
        <v>434</v>
      </c>
      <c r="B490" s="23"/>
      <c r="C490" s="24"/>
      <c r="D490" s="25"/>
      <c r="E490" s="26" t="s">
        <v>1765</v>
      </c>
      <c r="F490" s="236" t="s">
        <v>1898</v>
      </c>
      <c r="G490" s="87"/>
      <c r="H490" s="43"/>
      <c r="I490" s="91" t="s">
        <v>1466</v>
      </c>
      <c r="J490" s="41" t="s">
        <v>68</v>
      </c>
      <c r="K490" s="41" t="s">
        <v>68</v>
      </c>
      <c r="L490" s="45" t="s">
        <v>1899</v>
      </c>
      <c r="M490" s="33">
        <v>30881</v>
      </c>
      <c r="N490" s="40" t="s">
        <v>1900</v>
      </c>
      <c r="O490" s="30" t="s">
        <v>47</v>
      </c>
      <c r="P490" s="30" t="s">
        <v>48</v>
      </c>
      <c r="Q490" s="35" t="s">
        <v>1901</v>
      </c>
      <c r="R490" s="30">
        <v>2</v>
      </c>
      <c r="S490" s="35" t="s">
        <v>1902</v>
      </c>
      <c r="T490" s="53" t="s">
        <v>1903</v>
      </c>
    </row>
    <row r="491" spans="1:20" ht="30" customHeight="1" x14ac:dyDescent="0.25">
      <c r="A491" s="24">
        <f>A490+1</f>
        <v>435</v>
      </c>
      <c r="B491" s="23"/>
      <c r="C491" s="24"/>
      <c r="D491" s="24"/>
      <c r="E491" s="30" t="s">
        <v>1765</v>
      </c>
      <c r="F491" s="266" t="s">
        <v>1898</v>
      </c>
      <c r="G491" s="33"/>
      <c r="H491" s="43"/>
      <c r="I491" s="96" t="s">
        <v>1471</v>
      </c>
      <c r="J491" s="41" t="s">
        <v>44</v>
      </c>
      <c r="K491" s="117" t="s">
        <v>100</v>
      </c>
      <c r="L491" s="142" t="s">
        <v>1904</v>
      </c>
      <c r="M491" s="69">
        <v>35532</v>
      </c>
      <c r="N491" s="134" t="s">
        <v>1905</v>
      </c>
      <c r="O491" s="68" t="s">
        <v>47</v>
      </c>
      <c r="P491" s="68" t="s">
        <v>37</v>
      </c>
      <c r="Q491" s="135" t="s">
        <v>1906</v>
      </c>
      <c r="R491" s="68"/>
      <c r="S491" s="135" t="s">
        <v>1907</v>
      </c>
      <c r="T491" s="245" t="s">
        <v>1908</v>
      </c>
    </row>
    <row r="492" spans="1:20" ht="30" customHeight="1" x14ac:dyDescent="0.25">
      <c r="A492" s="24">
        <f>A491+1</f>
        <v>436</v>
      </c>
      <c r="B492" s="23"/>
      <c r="C492" s="24"/>
      <c r="D492" s="24"/>
      <c r="E492" s="30" t="s">
        <v>1765</v>
      </c>
      <c r="F492" s="266" t="s">
        <v>1898</v>
      </c>
      <c r="G492" s="33"/>
      <c r="H492" s="264"/>
      <c r="I492" s="44" t="s">
        <v>1909</v>
      </c>
      <c r="J492" s="41" t="s">
        <v>44</v>
      </c>
      <c r="K492" s="38">
        <v>96</v>
      </c>
      <c r="L492" s="230" t="s">
        <v>29</v>
      </c>
      <c r="M492" s="33"/>
      <c r="N492" s="40"/>
      <c r="O492" s="30"/>
      <c r="P492" s="30"/>
      <c r="Q492" s="35"/>
      <c r="R492" s="30"/>
      <c r="S492" s="35"/>
      <c r="T492" s="36"/>
    </row>
    <row r="493" spans="1:20" ht="30" customHeight="1" x14ac:dyDescent="0.25">
      <c r="A493" s="24">
        <f>A492+1</f>
        <v>437</v>
      </c>
      <c r="B493" s="23"/>
      <c r="C493" s="24"/>
      <c r="D493" s="24"/>
      <c r="E493" s="30" t="s">
        <v>1765</v>
      </c>
      <c r="F493" s="266" t="s">
        <v>1898</v>
      </c>
      <c r="G493" s="33"/>
      <c r="H493" s="264"/>
      <c r="I493" s="44" t="s">
        <v>1910</v>
      </c>
      <c r="J493" s="41" t="s">
        <v>44</v>
      </c>
      <c r="K493" s="38">
        <v>97</v>
      </c>
      <c r="L493" s="230" t="s">
        <v>29</v>
      </c>
      <c r="M493" s="33"/>
      <c r="N493" s="40"/>
      <c r="O493" s="30"/>
      <c r="P493" s="30"/>
      <c r="Q493" s="35"/>
      <c r="R493" s="30"/>
      <c r="S493" s="35"/>
      <c r="T493" s="36"/>
    </row>
    <row r="494" spans="1:20" ht="30" customHeight="1" x14ac:dyDescent="0.25">
      <c r="A494" s="24">
        <f>A493+1</f>
        <v>438</v>
      </c>
      <c r="B494" s="23"/>
      <c r="C494" s="24"/>
      <c r="D494" s="67"/>
      <c r="E494" s="68" t="s">
        <v>1765</v>
      </c>
      <c r="F494" s="237" t="s">
        <v>1898</v>
      </c>
      <c r="G494" s="69"/>
      <c r="H494" s="264"/>
      <c r="I494" s="44" t="s">
        <v>1911</v>
      </c>
      <c r="J494" s="41" t="s">
        <v>44</v>
      </c>
      <c r="K494" s="38">
        <v>98</v>
      </c>
      <c r="L494" s="230" t="s">
        <v>29</v>
      </c>
      <c r="M494" s="33"/>
      <c r="N494" s="40"/>
      <c r="O494" s="30"/>
      <c r="P494" s="30"/>
      <c r="Q494" s="35"/>
      <c r="R494" s="30"/>
      <c r="S494" s="35"/>
      <c r="T494" s="36"/>
    </row>
    <row r="495" spans="1:20" ht="30" customHeight="1" x14ac:dyDescent="0.25">
      <c r="A495" s="70" t="e">
        <f>REPT(#REF!,#REF!)</f>
        <v>#REF!</v>
      </c>
      <c r="B495" s="71"/>
      <c r="C495" s="72"/>
      <c r="D495" s="72"/>
      <c r="E495" s="250" t="s">
        <v>1765</v>
      </c>
      <c r="F495" s="74" t="e">
        <f>REPT(#REF!,#REF!)</f>
        <v>#REF!</v>
      </c>
      <c r="G495" s="75"/>
      <c r="H495" s="75"/>
      <c r="I495" s="76"/>
      <c r="J495" s="138"/>
      <c r="K495" s="138"/>
      <c r="L495" s="139"/>
      <c r="M495" s="183"/>
      <c r="N495" s="178"/>
      <c r="O495" s="184"/>
      <c r="P495" s="185"/>
      <c r="Q495" s="185"/>
      <c r="R495" s="185"/>
      <c r="S495" s="186"/>
      <c r="T495" s="187"/>
    </row>
    <row r="496" spans="1:20" ht="30" customHeight="1" x14ac:dyDescent="0.25">
      <c r="A496" s="24">
        <f>A494+1</f>
        <v>439</v>
      </c>
      <c r="B496" s="23"/>
      <c r="C496" s="24"/>
      <c r="D496" s="25"/>
      <c r="E496" s="26" t="s">
        <v>1765</v>
      </c>
      <c r="F496" s="236" t="s">
        <v>1472</v>
      </c>
      <c r="G496" s="87"/>
      <c r="H496" s="43"/>
      <c r="I496" s="91" t="s">
        <v>1473</v>
      </c>
      <c r="J496" s="41" t="s">
        <v>68</v>
      </c>
      <c r="K496" s="38">
        <v>99</v>
      </c>
      <c r="L496" s="230" t="s">
        <v>29</v>
      </c>
      <c r="M496" s="33"/>
      <c r="N496" s="40"/>
      <c r="O496" s="30"/>
      <c r="P496" s="30"/>
      <c r="Q496" s="35"/>
      <c r="R496" s="30"/>
      <c r="S496" s="35"/>
      <c r="T496" s="36"/>
    </row>
    <row r="497" spans="1:20" ht="30" customHeight="1" x14ac:dyDescent="0.25">
      <c r="A497" s="24">
        <f>A496+1</f>
        <v>440</v>
      </c>
      <c r="B497" s="23"/>
      <c r="C497" s="24"/>
      <c r="D497" s="67"/>
      <c r="E497" s="68" t="s">
        <v>1765</v>
      </c>
      <c r="F497" s="237" t="s">
        <v>1472</v>
      </c>
      <c r="G497" s="33"/>
      <c r="H497" s="43"/>
      <c r="I497" s="96" t="s">
        <v>1761</v>
      </c>
      <c r="J497" s="41" t="s">
        <v>44</v>
      </c>
      <c r="K497" s="38">
        <v>100</v>
      </c>
      <c r="L497" s="230" t="s">
        <v>29</v>
      </c>
      <c r="M497" s="46"/>
      <c r="N497" s="48"/>
      <c r="O497" s="49"/>
      <c r="P497" s="46"/>
      <c r="Q497" s="50"/>
      <c r="R497" s="46"/>
      <c r="S497" s="50"/>
      <c r="T497" s="46"/>
    </row>
    <row r="498" spans="1:20" ht="30" customHeight="1" x14ac:dyDescent="0.25">
      <c r="A498" s="246" t="e">
        <f>REPT(#REF!,#REF!)</f>
        <v>#REF!</v>
      </c>
      <c r="B498" s="247"/>
      <c r="C498" s="247"/>
      <c r="D498" s="11"/>
      <c r="E498" s="267" t="s">
        <v>1912</v>
      </c>
      <c r="F498" s="13" t="e">
        <f>REPT(#REF!,#REF!)</f>
        <v>#REF!</v>
      </c>
      <c r="G498" s="247"/>
      <c r="H498" s="247"/>
      <c r="I498" s="247"/>
      <c r="J498" s="247"/>
      <c r="K498" s="247"/>
      <c r="L498" s="247"/>
      <c r="M498" s="268"/>
      <c r="N498" s="268"/>
      <c r="O498" s="268"/>
      <c r="P498" s="268"/>
      <c r="Q498" s="268"/>
      <c r="R498" s="268"/>
      <c r="S498" s="268"/>
      <c r="T498" s="268"/>
    </row>
    <row r="499" spans="1:20" ht="30" customHeight="1" x14ac:dyDescent="0.25">
      <c r="A499" s="24">
        <f>A497+1</f>
        <v>441</v>
      </c>
      <c r="B499" s="23" t="s">
        <v>93</v>
      </c>
      <c r="C499" s="24"/>
      <c r="D499" s="25"/>
      <c r="E499" s="26" t="s">
        <v>1912</v>
      </c>
      <c r="F499" s="26" t="s">
        <v>21</v>
      </c>
      <c r="G499" s="33"/>
      <c r="H499" s="28" t="s">
        <v>22</v>
      </c>
      <c r="I499" s="88" t="s">
        <v>1913</v>
      </c>
      <c r="J499" s="41" t="s">
        <v>33</v>
      </c>
      <c r="K499" s="30" t="s">
        <v>33</v>
      </c>
      <c r="L499" s="45" t="s">
        <v>1914</v>
      </c>
      <c r="M499" s="33">
        <v>29625</v>
      </c>
      <c r="N499" s="40" t="s">
        <v>1915</v>
      </c>
      <c r="O499" s="30" t="s">
        <v>47</v>
      </c>
      <c r="P499" s="30" t="s">
        <v>48</v>
      </c>
      <c r="Q499" s="35" t="s">
        <v>1916</v>
      </c>
      <c r="R499" s="30">
        <v>3</v>
      </c>
      <c r="S499" s="35" t="s">
        <v>1917</v>
      </c>
      <c r="T499" s="53" t="s">
        <v>1918</v>
      </c>
    </row>
    <row r="500" spans="1:20" ht="30" customHeight="1" x14ac:dyDescent="0.25">
      <c r="A500" s="24"/>
      <c r="B500" s="23"/>
      <c r="C500" s="24"/>
      <c r="D500" s="24"/>
      <c r="E500" s="30" t="s">
        <v>1912</v>
      </c>
      <c r="F500" s="30" t="s">
        <v>21</v>
      </c>
      <c r="G500" s="33"/>
      <c r="H500" s="28"/>
      <c r="I500" s="88" t="s">
        <v>1913</v>
      </c>
      <c r="J500" s="41"/>
      <c r="K500" s="98"/>
      <c r="L500" s="63" t="s">
        <v>1919</v>
      </c>
      <c r="M500" s="33"/>
      <c r="N500" s="40"/>
      <c r="O500" s="30"/>
      <c r="P500" s="30"/>
      <c r="Q500" s="35"/>
      <c r="R500" s="30"/>
      <c r="S500" s="35"/>
      <c r="T500" s="53"/>
    </row>
    <row r="501" spans="1:20" ht="30" customHeight="1" x14ac:dyDescent="0.25">
      <c r="A501" s="24">
        <f>A499+1</f>
        <v>442</v>
      </c>
      <c r="B501" s="23"/>
      <c r="C501" s="24"/>
      <c r="D501" s="24"/>
      <c r="E501" s="30" t="s">
        <v>1912</v>
      </c>
      <c r="F501" s="30" t="s">
        <v>21</v>
      </c>
      <c r="G501" s="33"/>
      <c r="H501" s="28"/>
      <c r="I501" s="90" t="s">
        <v>1920</v>
      </c>
      <c r="J501" s="41" t="s">
        <v>43</v>
      </c>
      <c r="K501" s="41" t="s">
        <v>68</v>
      </c>
      <c r="L501" s="208" t="s">
        <v>1921</v>
      </c>
      <c r="M501" s="33">
        <v>33331</v>
      </c>
      <c r="N501" s="40" t="s">
        <v>1922</v>
      </c>
      <c r="O501" s="30" t="s">
        <v>47</v>
      </c>
      <c r="P501" s="30" t="s">
        <v>48</v>
      </c>
      <c r="Q501" s="35" t="s">
        <v>1923</v>
      </c>
      <c r="R501" s="30"/>
      <c r="S501" s="35" t="s">
        <v>72</v>
      </c>
      <c r="T501" s="36"/>
    </row>
    <row r="502" spans="1:20" ht="30" customHeight="1" x14ac:dyDescent="0.25">
      <c r="A502" s="24">
        <f t="shared" ref="A502:A519" si="19">A501+1</f>
        <v>443</v>
      </c>
      <c r="B502" s="23" t="s">
        <v>93</v>
      </c>
      <c r="C502" s="24"/>
      <c r="D502" s="24"/>
      <c r="E502" s="30" t="s">
        <v>1912</v>
      </c>
      <c r="F502" s="30" t="s">
        <v>21</v>
      </c>
      <c r="G502" s="33"/>
      <c r="H502" s="37" t="s">
        <v>27</v>
      </c>
      <c r="I502" s="90" t="s">
        <v>1924</v>
      </c>
      <c r="J502" s="41" t="s">
        <v>43</v>
      </c>
      <c r="K502" s="41" t="s">
        <v>43</v>
      </c>
      <c r="L502" s="65" t="s">
        <v>1925</v>
      </c>
      <c r="M502" s="33"/>
      <c r="N502" s="40"/>
      <c r="O502" s="30"/>
      <c r="P502" s="30"/>
      <c r="Q502" s="35"/>
      <c r="R502" s="30"/>
      <c r="S502" s="35"/>
      <c r="T502" s="36"/>
    </row>
    <row r="503" spans="1:20" ht="30" customHeight="1" x14ac:dyDescent="0.25">
      <c r="A503" s="24">
        <f t="shared" si="19"/>
        <v>444</v>
      </c>
      <c r="B503" s="23" t="s">
        <v>93</v>
      </c>
      <c r="C503" s="24" t="s">
        <v>313</v>
      </c>
      <c r="D503" s="24"/>
      <c r="E503" s="30" t="s">
        <v>1912</v>
      </c>
      <c r="F503" s="30" t="s">
        <v>21</v>
      </c>
      <c r="G503" s="33"/>
      <c r="H503" s="28" t="s">
        <v>22</v>
      </c>
      <c r="I503" s="90" t="s">
        <v>1926</v>
      </c>
      <c r="J503" s="41" t="s">
        <v>43</v>
      </c>
      <c r="K503" s="41" t="s">
        <v>43</v>
      </c>
      <c r="L503" s="52" t="s">
        <v>1927</v>
      </c>
      <c r="M503" s="33">
        <v>31522</v>
      </c>
      <c r="N503" s="40" t="s">
        <v>1928</v>
      </c>
      <c r="O503" s="30" t="s">
        <v>47</v>
      </c>
      <c r="P503" s="30" t="s">
        <v>48</v>
      </c>
      <c r="Q503" s="35" t="s">
        <v>1929</v>
      </c>
      <c r="R503" s="30">
        <v>1</v>
      </c>
      <c r="S503" s="35" t="s">
        <v>1930</v>
      </c>
      <c r="T503" s="53" t="s">
        <v>1931</v>
      </c>
    </row>
    <row r="504" spans="1:20" ht="30" customHeight="1" x14ac:dyDescent="0.25">
      <c r="A504" s="24">
        <f t="shared" si="19"/>
        <v>445</v>
      </c>
      <c r="B504" s="23"/>
      <c r="C504" s="24"/>
      <c r="D504" s="24"/>
      <c r="E504" s="30" t="s">
        <v>1912</v>
      </c>
      <c r="F504" s="30" t="s">
        <v>21</v>
      </c>
      <c r="G504" s="33"/>
      <c r="H504" s="28"/>
      <c r="I504" s="61" t="s">
        <v>1562</v>
      </c>
      <c r="J504" s="41" t="s">
        <v>68</v>
      </c>
      <c r="K504" s="41" t="s">
        <v>68</v>
      </c>
      <c r="L504" s="52" t="s">
        <v>1932</v>
      </c>
      <c r="M504" s="33">
        <v>30854</v>
      </c>
      <c r="N504" s="40" t="s">
        <v>1933</v>
      </c>
      <c r="O504" s="30" t="s">
        <v>47</v>
      </c>
      <c r="P504" s="30" t="s">
        <v>48</v>
      </c>
      <c r="Q504" s="35" t="s">
        <v>1934</v>
      </c>
      <c r="R504" s="30">
        <v>2</v>
      </c>
      <c r="S504" s="35" t="s">
        <v>1935</v>
      </c>
      <c r="T504" s="53" t="s">
        <v>1936</v>
      </c>
    </row>
    <row r="505" spans="1:20" ht="30" customHeight="1" x14ac:dyDescent="0.25">
      <c r="A505" s="24">
        <f t="shared" si="19"/>
        <v>446</v>
      </c>
      <c r="B505" s="23" t="s">
        <v>93</v>
      </c>
      <c r="C505" s="24"/>
      <c r="D505" s="24" t="s">
        <v>185</v>
      </c>
      <c r="E505" s="30" t="s">
        <v>1912</v>
      </c>
      <c r="F505" s="30" t="s">
        <v>21</v>
      </c>
      <c r="G505" s="33"/>
      <c r="H505" s="28" t="s">
        <v>22</v>
      </c>
      <c r="I505" s="61" t="s">
        <v>1937</v>
      </c>
      <c r="J505" s="41" t="s">
        <v>44</v>
      </c>
      <c r="K505" s="30" t="s">
        <v>68</v>
      </c>
      <c r="L505" s="45" t="s">
        <v>1938</v>
      </c>
      <c r="M505" s="33">
        <v>29572</v>
      </c>
      <c r="N505" s="40" t="s">
        <v>1939</v>
      </c>
      <c r="O505" s="30" t="s">
        <v>47</v>
      </c>
      <c r="P505" s="30" t="s">
        <v>527</v>
      </c>
      <c r="Q505" s="35" t="s">
        <v>1940</v>
      </c>
      <c r="R505" s="30">
        <v>3</v>
      </c>
      <c r="S505" s="35" t="s">
        <v>59</v>
      </c>
      <c r="T505" s="53" t="s">
        <v>1941</v>
      </c>
    </row>
    <row r="506" spans="1:20" ht="30" customHeight="1" x14ac:dyDescent="0.25">
      <c r="A506" s="24">
        <f t="shared" si="19"/>
        <v>447</v>
      </c>
      <c r="B506" s="23"/>
      <c r="C506" s="24"/>
      <c r="D506" s="24"/>
      <c r="E506" s="30" t="s">
        <v>1912</v>
      </c>
      <c r="F506" s="30" t="s">
        <v>21</v>
      </c>
      <c r="G506" s="33"/>
      <c r="H506" s="28"/>
      <c r="I506" s="90" t="s">
        <v>1942</v>
      </c>
      <c r="J506" s="41" t="s">
        <v>43</v>
      </c>
      <c r="K506" s="30" t="s">
        <v>43</v>
      </c>
      <c r="L506" s="45" t="s">
        <v>1943</v>
      </c>
      <c r="M506" s="33">
        <v>28691</v>
      </c>
      <c r="N506" s="40" t="s">
        <v>1944</v>
      </c>
      <c r="O506" s="30" t="s">
        <v>47</v>
      </c>
      <c r="P506" s="30" t="s">
        <v>48</v>
      </c>
      <c r="Q506" s="35" t="s">
        <v>1945</v>
      </c>
      <c r="R506" s="30">
        <v>2</v>
      </c>
      <c r="S506" s="35" t="s">
        <v>1946</v>
      </c>
      <c r="T506" s="47" t="s">
        <v>1947</v>
      </c>
    </row>
    <row r="507" spans="1:20" ht="30" customHeight="1" x14ac:dyDescent="0.25">
      <c r="A507" s="24">
        <f t="shared" si="19"/>
        <v>448</v>
      </c>
      <c r="B507" s="23"/>
      <c r="C507" s="24"/>
      <c r="D507" s="24"/>
      <c r="E507" s="30" t="s">
        <v>1912</v>
      </c>
      <c r="F507" s="30" t="s">
        <v>21</v>
      </c>
      <c r="G507" s="33"/>
      <c r="H507" s="28"/>
      <c r="I507" s="61" t="s">
        <v>1948</v>
      </c>
      <c r="J507" s="41" t="s">
        <v>44</v>
      </c>
      <c r="K507" s="38">
        <v>102</v>
      </c>
      <c r="L507" s="230" t="s">
        <v>29</v>
      </c>
      <c r="M507" s="33"/>
      <c r="N507" s="40"/>
      <c r="O507" s="30"/>
      <c r="P507" s="30"/>
      <c r="Q507" s="35"/>
      <c r="R507" s="30"/>
      <c r="S507" s="35"/>
      <c r="T507" s="36"/>
    </row>
    <row r="508" spans="1:20" ht="30" customHeight="1" x14ac:dyDescent="0.25">
      <c r="A508" s="24">
        <f t="shared" si="19"/>
        <v>449</v>
      </c>
      <c r="B508" s="23"/>
      <c r="C508" s="24"/>
      <c r="D508" s="24"/>
      <c r="E508" s="30" t="s">
        <v>1912</v>
      </c>
      <c r="F508" s="30" t="s">
        <v>21</v>
      </c>
      <c r="G508" s="33"/>
      <c r="H508" s="28"/>
      <c r="I508" s="90" t="s">
        <v>1949</v>
      </c>
      <c r="J508" s="41" t="s">
        <v>43</v>
      </c>
      <c r="K508" s="38">
        <v>103</v>
      </c>
      <c r="L508" s="230" t="s">
        <v>29</v>
      </c>
      <c r="M508" s="33"/>
      <c r="N508" s="40"/>
      <c r="O508" s="30"/>
      <c r="P508" s="30"/>
      <c r="Q508" s="35"/>
      <c r="R508" s="30"/>
      <c r="S508" s="35"/>
      <c r="T508" s="36"/>
    </row>
    <row r="509" spans="1:20" ht="30.75" customHeight="1" x14ac:dyDescent="0.25">
      <c r="A509" s="24">
        <f t="shared" si="19"/>
        <v>450</v>
      </c>
      <c r="B509" s="23"/>
      <c r="C509" s="24"/>
      <c r="D509" s="24"/>
      <c r="E509" s="30" t="s">
        <v>1912</v>
      </c>
      <c r="F509" s="30" t="s">
        <v>21</v>
      </c>
      <c r="G509" s="33"/>
      <c r="H509" s="28"/>
      <c r="I509" s="44" t="s">
        <v>1598</v>
      </c>
      <c r="J509" s="41" t="s">
        <v>44</v>
      </c>
      <c r="K509" s="269" t="s">
        <v>100</v>
      </c>
      <c r="L509" s="65" t="s">
        <v>1950</v>
      </c>
      <c r="M509" s="33"/>
      <c r="N509" s="40"/>
      <c r="O509" s="30"/>
      <c r="P509" s="30"/>
      <c r="Q509" s="35"/>
      <c r="R509" s="30"/>
      <c r="S509" s="35"/>
      <c r="T509" s="36"/>
    </row>
    <row r="510" spans="1:20" ht="30" customHeight="1" x14ac:dyDescent="0.25">
      <c r="A510" s="24">
        <f t="shared" si="19"/>
        <v>451</v>
      </c>
      <c r="B510" s="23" t="s">
        <v>93</v>
      </c>
      <c r="C510" s="24"/>
      <c r="D510" s="24"/>
      <c r="E510" s="30" t="s">
        <v>1912</v>
      </c>
      <c r="F510" s="30" t="s">
        <v>1951</v>
      </c>
      <c r="G510" s="33"/>
      <c r="H510" s="28" t="s">
        <v>22</v>
      </c>
      <c r="I510" s="91" t="s">
        <v>1952</v>
      </c>
      <c r="J510" s="41" t="s">
        <v>68</v>
      </c>
      <c r="K510" s="41" t="s">
        <v>44</v>
      </c>
      <c r="L510" s="208" t="s">
        <v>1953</v>
      </c>
      <c r="M510" s="33">
        <v>31805</v>
      </c>
      <c r="N510" s="40" t="s">
        <v>1954</v>
      </c>
      <c r="O510" s="30" t="s">
        <v>47</v>
      </c>
      <c r="P510" s="30" t="s">
        <v>48</v>
      </c>
      <c r="Q510" s="35" t="s">
        <v>1955</v>
      </c>
      <c r="R510" s="30"/>
      <c r="S510" s="35" t="s">
        <v>1956</v>
      </c>
      <c r="T510" s="53" t="s">
        <v>1957</v>
      </c>
    </row>
    <row r="511" spans="1:20" ht="30" customHeight="1" x14ac:dyDescent="0.25">
      <c r="A511" s="24">
        <f t="shared" si="19"/>
        <v>452</v>
      </c>
      <c r="B511" s="23" t="s">
        <v>93</v>
      </c>
      <c r="C511" s="24"/>
      <c r="D511" s="24" t="s">
        <v>185</v>
      </c>
      <c r="E511" s="30" t="s">
        <v>1912</v>
      </c>
      <c r="F511" s="30" t="s">
        <v>1951</v>
      </c>
      <c r="G511" s="33"/>
      <c r="H511" s="37" t="s">
        <v>27</v>
      </c>
      <c r="I511" s="92" t="s">
        <v>1958</v>
      </c>
      <c r="J511" s="41" t="s">
        <v>44</v>
      </c>
      <c r="K511" s="38">
        <v>104</v>
      </c>
      <c r="L511" s="63" t="s">
        <v>1760</v>
      </c>
      <c r="M511" s="46"/>
      <c r="N511" s="48"/>
      <c r="O511" s="49"/>
      <c r="P511" s="46"/>
      <c r="Q511" s="50"/>
      <c r="R511" s="46"/>
      <c r="S511" s="50"/>
      <c r="T511" s="51"/>
    </row>
    <row r="512" spans="1:20" ht="30" customHeight="1" x14ac:dyDescent="0.25">
      <c r="A512" s="24">
        <f t="shared" si="19"/>
        <v>453</v>
      </c>
      <c r="B512" s="23"/>
      <c r="C512" s="24"/>
      <c r="D512" s="24"/>
      <c r="E512" s="30" t="s">
        <v>1912</v>
      </c>
      <c r="F512" s="30" t="s">
        <v>1951</v>
      </c>
      <c r="G512" s="33"/>
      <c r="H512" s="37"/>
      <c r="I512" s="92" t="s">
        <v>1959</v>
      </c>
      <c r="J512" s="41" t="s">
        <v>44</v>
      </c>
      <c r="K512" s="38">
        <v>105</v>
      </c>
      <c r="L512" s="63" t="s">
        <v>1760</v>
      </c>
      <c r="M512" s="46"/>
      <c r="N512" s="48"/>
      <c r="O512" s="49"/>
      <c r="P512" s="46"/>
      <c r="Q512" s="50"/>
      <c r="R512" s="46"/>
      <c r="S512" s="50"/>
      <c r="T512" s="51"/>
    </row>
    <row r="513" spans="1:20" ht="30" customHeight="1" x14ac:dyDescent="0.25">
      <c r="A513" s="24">
        <f t="shared" si="19"/>
        <v>454</v>
      </c>
      <c r="B513" s="23" t="s">
        <v>93</v>
      </c>
      <c r="C513" s="24"/>
      <c r="D513" s="24" t="s">
        <v>185</v>
      </c>
      <c r="E513" s="30" t="s">
        <v>1912</v>
      </c>
      <c r="F513" s="30" t="s">
        <v>1951</v>
      </c>
      <c r="G513" s="33"/>
      <c r="H513" s="37" t="s">
        <v>27</v>
      </c>
      <c r="I513" s="92" t="s">
        <v>1960</v>
      </c>
      <c r="J513" s="41" t="s">
        <v>44</v>
      </c>
      <c r="K513" s="41" t="s">
        <v>44</v>
      </c>
      <c r="L513" s="56" t="s">
        <v>1961</v>
      </c>
      <c r="M513" s="33">
        <v>34987</v>
      </c>
      <c r="N513" s="40" t="s">
        <v>1962</v>
      </c>
      <c r="O513" s="30" t="s">
        <v>47</v>
      </c>
      <c r="P513" s="30" t="s">
        <v>37</v>
      </c>
      <c r="Q513" s="35" t="s">
        <v>1963</v>
      </c>
      <c r="R513" s="30"/>
      <c r="S513" s="35" t="s">
        <v>84</v>
      </c>
      <c r="T513" s="53" t="s">
        <v>1964</v>
      </c>
    </row>
    <row r="514" spans="1:20" ht="30" customHeight="1" x14ac:dyDescent="0.25">
      <c r="A514" s="24">
        <f t="shared" si="19"/>
        <v>455</v>
      </c>
      <c r="B514" s="23" t="s">
        <v>93</v>
      </c>
      <c r="C514" s="24"/>
      <c r="D514" s="24" t="s">
        <v>185</v>
      </c>
      <c r="E514" s="30" t="s">
        <v>1912</v>
      </c>
      <c r="F514" s="30" t="s">
        <v>1951</v>
      </c>
      <c r="G514" s="33"/>
      <c r="H514" s="37" t="s">
        <v>27</v>
      </c>
      <c r="I514" s="92" t="s">
        <v>1965</v>
      </c>
      <c r="J514" s="41" t="s">
        <v>44</v>
      </c>
      <c r="K514" s="38">
        <v>106</v>
      </c>
      <c r="L514" s="63" t="s">
        <v>1760</v>
      </c>
      <c r="M514" s="33"/>
      <c r="N514" s="40"/>
      <c r="O514" s="30"/>
      <c r="P514" s="30"/>
      <c r="Q514" s="35"/>
      <c r="R514" s="30"/>
      <c r="S514" s="35" t="e">
        <f>#N/A</f>
        <v>#N/A</v>
      </c>
      <c r="T514" s="23"/>
    </row>
    <row r="515" spans="1:20" ht="30" customHeight="1" x14ac:dyDescent="0.25">
      <c r="A515" s="24">
        <f t="shared" si="19"/>
        <v>456</v>
      </c>
      <c r="B515" s="23" t="s">
        <v>93</v>
      </c>
      <c r="C515" s="24"/>
      <c r="D515" s="24"/>
      <c r="E515" s="30" t="s">
        <v>1912</v>
      </c>
      <c r="F515" s="30" t="s">
        <v>1966</v>
      </c>
      <c r="G515" s="33"/>
      <c r="H515" s="37" t="s">
        <v>27</v>
      </c>
      <c r="I515" s="91" t="s">
        <v>1967</v>
      </c>
      <c r="J515" s="41" t="s">
        <v>68</v>
      </c>
      <c r="K515" s="30" t="s">
        <v>100</v>
      </c>
      <c r="L515" s="270" t="s">
        <v>1968</v>
      </c>
      <c r="M515" s="33">
        <v>31225</v>
      </c>
      <c r="N515" s="40" t="s">
        <v>1969</v>
      </c>
      <c r="O515" s="30" t="s">
        <v>47</v>
      </c>
      <c r="P515" s="30" t="s">
        <v>48</v>
      </c>
      <c r="Q515" s="35" t="s">
        <v>1970</v>
      </c>
      <c r="R515" s="30">
        <v>2</v>
      </c>
      <c r="S515" s="35" t="s">
        <v>1971</v>
      </c>
      <c r="T515" s="53" t="s">
        <v>1972</v>
      </c>
    </row>
    <row r="516" spans="1:20" ht="30" customHeight="1" x14ac:dyDescent="0.25">
      <c r="A516" s="24">
        <f t="shared" si="19"/>
        <v>457</v>
      </c>
      <c r="B516" s="23" t="s">
        <v>93</v>
      </c>
      <c r="C516" s="24"/>
      <c r="D516" s="24" t="s">
        <v>185</v>
      </c>
      <c r="E516" s="30" t="s">
        <v>1912</v>
      </c>
      <c r="F516" s="30" t="s">
        <v>1966</v>
      </c>
      <c r="G516" s="33"/>
      <c r="H516" s="37" t="s">
        <v>27</v>
      </c>
      <c r="I516" s="92" t="s">
        <v>1973</v>
      </c>
      <c r="J516" s="41" t="s">
        <v>44</v>
      </c>
      <c r="K516" s="41" t="s">
        <v>100</v>
      </c>
      <c r="L516" s="63" t="s">
        <v>1974</v>
      </c>
      <c r="M516" s="33">
        <v>35992</v>
      </c>
      <c r="N516" s="40" t="s">
        <v>1975</v>
      </c>
      <c r="O516" s="30" t="s">
        <v>47</v>
      </c>
      <c r="P516" s="30" t="s">
        <v>37</v>
      </c>
      <c r="Q516" s="35" t="s">
        <v>1976</v>
      </c>
      <c r="R516" s="30"/>
      <c r="S516" s="35" t="s">
        <v>1977</v>
      </c>
      <c r="T516" s="47" t="s">
        <v>1978</v>
      </c>
    </row>
    <row r="517" spans="1:20" ht="30" customHeight="1" x14ac:dyDescent="0.25">
      <c r="A517" s="24">
        <f t="shared" si="19"/>
        <v>458</v>
      </c>
      <c r="B517" s="23" t="s">
        <v>93</v>
      </c>
      <c r="C517" s="24"/>
      <c r="D517" s="24" t="s">
        <v>185</v>
      </c>
      <c r="E517" s="30" t="s">
        <v>1912</v>
      </c>
      <c r="F517" s="30" t="s">
        <v>1966</v>
      </c>
      <c r="G517" s="33"/>
      <c r="H517" s="37" t="s">
        <v>27</v>
      </c>
      <c r="I517" s="92" t="s">
        <v>1979</v>
      </c>
      <c r="J517" s="41" t="s">
        <v>44</v>
      </c>
      <c r="K517" s="26" t="s">
        <v>44</v>
      </c>
      <c r="L517" s="164" t="s">
        <v>1980</v>
      </c>
      <c r="M517" s="33">
        <v>30482</v>
      </c>
      <c r="N517" s="40" t="s">
        <v>1981</v>
      </c>
      <c r="O517" s="30" t="s">
        <v>47</v>
      </c>
      <c r="P517" s="30" t="s">
        <v>279</v>
      </c>
      <c r="Q517" s="35" t="s">
        <v>1982</v>
      </c>
      <c r="R517" s="30">
        <v>1</v>
      </c>
      <c r="S517" s="35" t="s">
        <v>84</v>
      </c>
      <c r="T517" s="53" t="s">
        <v>1983</v>
      </c>
    </row>
    <row r="518" spans="1:20" ht="30" customHeight="1" x14ac:dyDescent="0.25">
      <c r="A518" s="24">
        <f t="shared" si="19"/>
        <v>459</v>
      </c>
      <c r="B518" s="23"/>
      <c r="C518" s="24"/>
      <c r="D518" s="24" t="s">
        <v>185</v>
      </c>
      <c r="E518" s="30" t="s">
        <v>1912</v>
      </c>
      <c r="F518" s="30" t="s">
        <v>1984</v>
      </c>
      <c r="G518" s="33"/>
      <c r="H518" s="43" t="s">
        <v>41</v>
      </c>
      <c r="I518" s="52" t="s">
        <v>1985</v>
      </c>
      <c r="J518" s="41" t="s">
        <v>44</v>
      </c>
      <c r="K518" s="30" t="s">
        <v>68</v>
      </c>
      <c r="L518" s="45" t="s">
        <v>1986</v>
      </c>
      <c r="M518" s="33">
        <v>28698</v>
      </c>
      <c r="N518" s="40" t="s">
        <v>1987</v>
      </c>
      <c r="O518" s="30" t="s">
        <v>47</v>
      </c>
      <c r="P518" s="30" t="s">
        <v>48</v>
      </c>
      <c r="Q518" s="35" t="s">
        <v>1988</v>
      </c>
      <c r="R518" s="30">
        <v>2</v>
      </c>
      <c r="S518" s="35" t="s">
        <v>1989</v>
      </c>
      <c r="T518" s="53" t="s">
        <v>1990</v>
      </c>
    </row>
    <row r="519" spans="1:20" ht="30" customHeight="1" x14ac:dyDescent="0.25">
      <c r="A519" s="24">
        <f t="shared" si="19"/>
        <v>460</v>
      </c>
      <c r="B519" s="23"/>
      <c r="C519" s="24"/>
      <c r="D519" s="24"/>
      <c r="E519" s="30" t="s">
        <v>1912</v>
      </c>
      <c r="F519" s="30" t="s">
        <v>1762</v>
      </c>
      <c r="G519" s="33"/>
      <c r="H519" s="43"/>
      <c r="I519" s="52" t="s">
        <v>1991</v>
      </c>
      <c r="J519" s="41" t="s">
        <v>924</v>
      </c>
      <c r="K519" s="38">
        <v>107</v>
      </c>
      <c r="L519" s="271" t="s">
        <v>29</v>
      </c>
      <c r="M519" s="33"/>
      <c r="N519" s="40"/>
      <c r="O519" s="30"/>
      <c r="P519" s="30"/>
      <c r="Q519" s="35"/>
      <c r="R519" s="30"/>
      <c r="S519" s="35"/>
      <c r="T519" s="36"/>
    </row>
    <row r="520" spans="1:20" ht="30" customHeight="1" x14ac:dyDescent="0.25">
      <c r="A520" s="246" t="e">
        <f>REPT(#REF!,#REF!)</f>
        <v>#REF!</v>
      </c>
      <c r="B520" s="247"/>
      <c r="C520" s="247"/>
      <c r="D520" s="247"/>
      <c r="E520" s="272" t="s">
        <v>1992</v>
      </c>
      <c r="F520" s="9" t="e">
        <f>REPT(#REF!,#REF!)</f>
        <v>#REF!</v>
      </c>
      <c r="G520" s="247"/>
      <c r="H520" s="247"/>
      <c r="I520" s="247"/>
      <c r="J520" s="247"/>
      <c r="K520" s="247"/>
      <c r="L520" s="11"/>
      <c r="M520" s="247"/>
      <c r="N520" s="247"/>
      <c r="O520" s="247"/>
      <c r="P520" s="247"/>
      <c r="Q520" s="247"/>
      <c r="R520" s="247"/>
      <c r="S520" s="247"/>
      <c r="T520" s="247"/>
    </row>
    <row r="521" spans="1:20" ht="30" customHeight="1" x14ac:dyDescent="0.25">
      <c r="A521" s="24">
        <f>A519+1</f>
        <v>461</v>
      </c>
      <c r="B521" s="23"/>
      <c r="C521" s="24"/>
      <c r="D521" s="24"/>
      <c r="E521" s="30" t="s">
        <v>1992</v>
      </c>
      <c r="F521" s="30" t="s">
        <v>21</v>
      </c>
      <c r="G521" s="33"/>
      <c r="H521" s="43"/>
      <c r="I521" s="88" t="s">
        <v>1993</v>
      </c>
      <c r="J521" s="41" t="s">
        <v>33</v>
      </c>
      <c r="K521" s="41" t="s">
        <v>43</v>
      </c>
      <c r="L521" s="164" t="s">
        <v>1994</v>
      </c>
      <c r="M521" s="33">
        <v>29363</v>
      </c>
      <c r="N521" s="40" t="s">
        <v>1995</v>
      </c>
      <c r="O521" s="30" t="s">
        <v>1157</v>
      </c>
      <c r="P521" s="30" t="s">
        <v>48</v>
      </c>
      <c r="Q521" s="35" t="s">
        <v>1996</v>
      </c>
      <c r="R521" s="30">
        <v>2</v>
      </c>
      <c r="S521" s="35" t="s">
        <v>400</v>
      </c>
      <c r="T521" s="53" t="s">
        <v>1997</v>
      </c>
    </row>
    <row r="522" spans="1:20" ht="30" customHeight="1" x14ac:dyDescent="0.25">
      <c r="A522" s="24">
        <f t="shared" ref="A522:A529" si="20">A521+1</f>
        <v>462</v>
      </c>
      <c r="B522" s="23"/>
      <c r="C522" s="24"/>
      <c r="D522" s="24"/>
      <c r="E522" s="30" t="s">
        <v>1992</v>
      </c>
      <c r="F522" s="30" t="s">
        <v>21</v>
      </c>
      <c r="G522" s="33"/>
      <c r="H522" s="43"/>
      <c r="I522" s="52" t="s">
        <v>1998</v>
      </c>
      <c r="J522" s="41" t="s">
        <v>43</v>
      </c>
      <c r="K522" s="41" t="s">
        <v>68</v>
      </c>
      <c r="L522" s="45" t="s">
        <v>1999</v>
      </c>
      <c r="M522" s="33">
        <v>29900</v>
      </c>
      <c r="N522" s="40" t="s">
        <v>2000</v>
      </c>
      <c r="O522" s="30" t="s">
        <v>47</v>
      </c>
      <c r="P522" s="30" t="s">
        <v>48</v>
      </c>
      <c r="Q522" s="35" t="s">
        <v>2001</v>
      </c>
      <c r="R522" s="30">
        <v>2</v>
      </c>
      <c r="S522" s="35" t="s">
        <v>2002</v>
      </c>
      <c r="T522" s="36"/>
    </row>
    <row r="523" spans="1:20" ht="30" customHeight="1" x14ac:dyDescent="0.25">
      <c r="A523" s="24">
        <f t="shared" si="20"/>
        <v>463</v>
      </c>
      <c r="B523" s="23"/>
      <c r="C523" s="24"/>
      <c r="D523" s="24"/>
      <c r="E523" s="30" t="s">
        <v>1992</v>
      </c>
      <c r="F523" s="30" t="s">
        <v>21</v>
      </c>
      <c r="G523" s="33"/>
      <c r="H523" s="43"/>
      <c r="I523" s="52" t="s">
        <v>2003</v>
      </c>
      <c r="J523" s="41" t="s">
        <v>43</v>
      </c>
      <c r="K523" s="41" t="s">
        <v>68</v>
      </c>
      <c r="L523" s="65" t="s">
        <v>2004</v>
      </c>
      <c r="M523" s="46"/>
      <c r="N523" s="46"/>
      <c r="O523" s="46"/>
      <c r="P523" s="46"/>
      <c r="Q523" s="46"/>
      <c r="R523" s="46"/>
      <c r="S523" s="46"/>
      <c r="T523" s="46"/>
    </row>
    <row r="524" spans="1:20" ht="30" customHeight="1" x14ac:dyDescent="0.25">
      <c r="A524" s="24">
        <f t="shared" si="20"/>
        <v>464</v>
      </c>
      <c r="B524" s="23"/>
      <c r="C524" s="24"/>
      <c r="D524" s="24"/>
      <c r="E524" s="30" t="s">
        <v>1992</v>
      </c>
      <c r="F524" s="30" t="s">
        <v>21</v>
      </c>
      <c r="G524" s="33"/>
      <c r="H524" s="43"/>
      <c r="I524" s="52" t="s">
        <v>2005</v>
      </c>
      <c r="J524" s="41" t="s">
        <v>44</v>
      </c>
      <c r="K524" s="41" t="s">
        <v>44</v>
      </c>
      <c r="L524" s="45" t="s">
        <v>2006</v>
      </c>
      <c r="M524" s="33">
        <v>29526</v>
      </c>
      <c r="N524" s="40" t="s">
        <v>2007</v>
      </c>
      <c r="O524" s="30" t="s">
        <v>2008</v>
      </c>
      <c r="P524" s="30" t="s">
        <v>48</v>
      </c>
      <c r="Q524" s="35" t="s">
        <v>2009</v>
      </c>
      <c r="R524" s="30">
        <v>2</v>
      </c>
      <c r="S524" s="35" t="s">
        <v>2010</v>
      </c>
      <c r="T524" s="24" t="s">
        <v>2011</v>
      </c>
    </row>
    <row r="525" spans="1:20" ht="30" customHeight="1" x14ac:dyDescent="0.25">
      <c r="A525" s="24">
        <f t="shared" si="20"/>
        <v>465</v>
      </c>
      <c r="B525" s="23"/>
      <c r="C525" s="24"/>
      <c r="D525" s="24"/>
      <c r="E525" s="30" t="s">
        <v>1992</v>
      </c>
      <c r="F525" s="30" t="s">
        <v>2012</v>
      </c>
      <c r="G525" s="33"/>
      <c r="H525" s="43"/>
      <c r="I525" s="91" t="s">
        <v>2013</v>
      </c>
      <c r="J525" s="41" t="s">
        <v>68</v>
      </c>
      <c r="K525" s="41" t="s">
        <v>44</v>
      </c>
      <c r="L525" s="45" t="s">
        <v>2014</v>
      </c>
      <c r="M525" s="33">
        <v>29987</v>
      </c>
      <c r="N525" s="40" t="s">
        <v>2015</v>
      </c>
      <c r="O525" s="30" t="s">
        <v>47</v>
      </c>
      <c r="P525" s="30" t="s">
        <v>48</v>
      </c>
      <c r="Q525" s="35" t="s">
        <v>2016</v>
      </c>
      <c r="R525" s="30"/>
      <c r="S525" s="35" t="s">
        <v>2017</v>
      </c>
      <c r="T525" s="36"/>
    </row>
    <row r="526" spans="1:20" ht="30" customHeight="1" x14ac:dyDescent="0.25">
      <c r="A526" s="24">
        <f t="shared" si="20"/>
        <v>466</v>
      </c>
      <c r="B526" s="23"/>
      <c r="C526" s="24"/>
      <c r="D526" s="24"/>
      <c r="E526" s="30" t="s">
        <v>1992</v>
      </c>
      <c r="F526" s="30" t="s">
        <v>2012</v>
      </c>
      <c r="G526" s="33"/>
      <c r="H526" s="43"/>
      <c r="I526" s="92" t="s">
        <v>2018</v>
      </c>
      <c r="J526" s="41" t="s">
        <v>44</v>
      </c>
      <c r="K526" s="41" t="s">
        <v>100</v>
      </c>
      <c r="L526" s="65" t="s">
        <v>2019</v>
      </c>
      <c r="M526" s="33">
        <v>32757</v>
      </c>
      <c r="N526" s="40"/>
      <c r="O526" s="30"/>
      <c r="P526" s="30"/>
      <c r="Q526" s="35"/>
      <c r="R526" s="30"/>
      <c r="S526" s="35"/>
      <c r="T526" s="36"/>
    </row>
    <row r="527" spans="1:20" ht="30" customHeight="1" x14ac:dyDescent="0.25">
      <c r="A527" s="24">
        <f t="shared" si="20"/>
        <v>467</v>
      </c>
      <c r="B527" s="23"/>
      <c r="C527" s="24"/>
      <c r="D527" s="24"/>
      <c r="E527" s="30" t="s">
        <v>1992</v>
      </c>
      <c r="F527" s="30" t="s">
        <v>2012</v>
      </c>
      <c r="G527" s="33"/>
      <c r="H527" s="43"/>
      <c r="I527" s="92" t="s">
        <v>2020</v>
      </c>
      <c r="J527" s="41" t="s">
        <v>44</v>
      </c>
      <c r="K527" s="38">
        <v>109</v>
      </c>
      <c r="L527" s="63" t="s">
        <v>2021</v>
      </c>
      <c r="M527" s="33"/>
      <c r="N527" s="40"/>
      <c r="O527" s="30"/>
      <c r="P527" s="30"/>
      <c r="Q527" s="35"/>
      <c r="R527" s="30"/>
      <c r="S527" s="35"/>
      <c r="T527" s="36"/>
    </row>
    <row r="528" spans="1:20" ht="30" customHeight="1" x14ac:dyDescent="0.25">
      <c r="A528" s="24">
        <f t="shared" si="20"/>
        <v>468</v>
      </c>
      <c r="B528" s="23"/>
      <c r="C528" s="24"/>
      <c r="D528" s="24"/>
      <c r="E528" s="30" t="s">
        <v>1992</v>
      </c>
      <c r="F528" s="30" t="s">
        <v>2012</v>
      </c>
      <c r="G528" s="33"/>
      <c r="H528" s="43"/>
      <c r="I528" s="92" t="s">
        <v>2022</v>
      </c>
      <c r="J528" s="41" t="s">
        <v>44</v>
      </c>
      <c r="K528" s="38">
        <v>110</v>
      </c>
      <c r="L528" s="39" t="s">
        <v>29</v>
      </c>
      <c r="M528" s="33"/>
      <c r="N528" s="40"/>
      <c r="O528" s="30"/>
      <c r="P528" s="30"/>
      <c r="Q528" s="35"/>
      <c r="R528" s="30"/>
      <c r="S528" s="35"/>
      <c r="T528" s="36"/>
    </row>
    <row r="529" spans="1:20" ht="30" customHeight="1" x14ac:dyDescent="0.25">
      <c r="A529" s="24">
        <f t="shared" si="20"/>
        <v>469</v>
      </c>
      <c r="B529" s="23" t="s">
        <v>213</v>
      </c>
      <c r="C529" s="24"/>
      <c r="D529" s="24" t="s">
        <v>185</v>
      </c>
      <c r="E529" s="30" t="s">
        <v>1992</v>
      </c>
      <c r="F529" s="30" t="s">
        <v>2023</v>
      </c>
      <c r="G529" s="33"/>
      <c r="H529" s="264" t="s">
        <v>41</v>
      </c>
      <c r="I529" s="92" t="s">
        <v>2024</v>
      </c>
      <c r="J529" s="41" t="s">
        <v>44</v>
      </c>
      <c r="K529" s="38">
        <v>111</v>
      </c>
      <c r="L529" s="39" t="s">
        <v>29</v>
      </c>
      <c r="M529" s="33"/>
      <c r="N529" s="40"/>
      <c r="O529" s="30"/>
      <c r="P529" s="30"/>
      <c r="Q529" s="35"/>
      <c r="R529" s="30"/>
      <c r="S529" s="35"/>
      <c r="T529" s="36"/>
    </row>
  </sheetData>
  <mergeCells count="20"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O4">
    <cfRule type="duplicateValues" dxfId="1" priority="2"/>
  </conditionalFormatting>
  <conditionalFormatting sqref="I529 I462:I465 I474:I477 I481 I468:I471 I486:I488">
    <cfRule type="duplicateValues" dxfId="0" priority="3"/>
  </conditionalFormatting>
  <pageMargins left="0" right="0" top="0" bottom="0" header="0.51180555555555496" footer="0.51180555555555496"/>
  <pageSetup paperSize="9" firstPageNumber="0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главное</vt:lpstr>
      <vt:lpstr>главное!_ФильтрБазыДанных</vt:lpstr>
      <vt:lpstr>главное!Область_печати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2022-03-03T14:18:50Z</dcterms:created>
  <dcterms:modified xsi:type="dcterms:W3CDTF">2022-03-03T14:19:08Z</dcterms:modified>
  <dc:language/>
</cp:coreProperties>
</file>